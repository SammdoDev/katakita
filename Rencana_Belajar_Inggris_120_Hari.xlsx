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cker" sheetId="2" state="visible" r:id="rId4"/>
    <sheet name="Belajar Hari Ini" sheetId="3" state="visible" r:id="rId5"/>
    <sheet name="Rencana 120 Hari" sheetId="4" state="visible" r:id="rId6"/>
    <sheet name="Kamus Materi" sheetId="5" state="visible" r:id="rId7"/>
    <sheet name="Sumber" sheetId="6" state="visible" r:id="rId8"/>
    <sheet name="Evaluasi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<sst xmlns="http://schemas.openxmlformats.org/spreadsheetml/2006/main" count="3573" uniqueCount="1728">
  <si>
    <t xml:space="preserve">ENGLISH / 120-DAY TRACKER</t>
  </si>
  <si>
    <t xml:space="preserve">Dari nol menuju fondasi A1 dan pengenalan A2 • 4 fase × 30 hari • materi, praktik, dan review</t>
  </si>
  <si>
    <t xml:space="preserve">Tanggal mulai</t>
  </si>
  <si>
    <t xml:space="preserve">Jumlah hari</t>
  </si>
  <si>
    <t xml:space="preserve">Tanggal akhir</t>
  </si>
  <si>
    <t xml:space="preserve">Menit per sesi</t>
  </si>
  <si>
    <t xml:space="preserve">Ambang evaluasi</t>
  </si>
  <si>
    <t xml:space="preserve">Ulang jika paham ≤</t>
  </si>
  <si>
    <t xml:space="preserve">Total jam rencana</t>
  </si>
  <si>
    <t xml:space="preserve">Maks. nilai / aspek</t>
  </si>
  <si>
    <t xml:space="preserve">HARI SELESAI</t>
  </si>
  <si>
    <t xml:space="preserve">PROGRES HARI</t>
  </si>
  <si>
    <t xml:space="preserve">JAM AKTUAL</t>
  </si>
  <si>
    <t xml:space="preserve">PERLU DIULANG</t>
  </si>
  <si>
    <t xml:space="preserve">PROGRES PER FASE</t>
  </si>
  <si>
    <t xml:space="preserve">Fase</t>
  </si>
  <si>
    <t xml:space="preserve">Day awal</t>
  </si>
  <si>
    <t xml:space="preserve">Day akhir</t>
  </si>
  <si>
    <t xml:space="preserve">Selesai</t>
  </si>
  <si>
    <t xml:space="preserve">Total</t>
  </si>
  <si>
    <t xml:space="preserve">Progres</t>
  </si>
  <si>
    <t xml:space="preserve">Jam aktual</t>
  </si>
  <si>
    <t xml:space="preserve">Checkpoint</t>
  </si>
  <si>
    <t xml:space="preserve">CARA PAKAI</t>
  </si>
  <si>
    <t xml:space="preserve">01 · Atur awal</t>
  </si>
  <si>
    <t xml:space="preserve">Tanggal default 7 Sep 2026 mengikuti jadwal belajar pukul 19.00 WIB yang sudah dibuat. Ubah sel biru C5 bila mulai di tanggal lain. Workbook tidak mengubah pengingat otomatis.</t>
  </si>
  <si>
    <t xml:space="preserve">02 · Pilih Day</t>
  </si>
  <si>
    <t xml:space="preserve">Buka Belajar Hari Ini, isi Day 1–120. Materi, pengertian, contoh, artikel, video, dan tugas hari tersebut akan muncul otomatis.</t>
  </si>
  <si>
    <t xml:space="preserve">03 · Latihan 55 menit</t>
  </si>
  <si>
    <t xml:space="preserve">10 menit kosakata/review + 10 menit membaca + 15 menit video/listening + 10 menit speaking + 10 menit writing. Ini alokasi latihan, bukan durasi asli video.</t>
  </si>
  <si>
    <t xml:space="preserve">04 · Tandai selesai</t>
  </si>
  <si>
    <t xml:space="preserve">Pada Tracker, pilih Selesai untuk setiap aktivitas. Satu hari selesai setelah kelimanya selesai. Isi menit aktual, tingkat paham, catatan, dan lokasi rekaman.</t>
  </si>
  <si>
    <t xml:space="preserve">05 · Review jujur</t>
  </si>
  <si>
    <t xml:space="preserve">Paham 1 = belum paham; 2 = banyak bantuan; 3 = bisa dengan contoh; 4 = cukup mandiri; 5 = bisa menjelaskan. Perlu ulang tidak menghapus aktivitas yang selesai.</t>
  </si>
  <si>
    <t xml:space="preserve">06 · Ukur kemajuan</t>
  </si>
  <si>
    <t xml:space="preserve">Isi Evaluasi pada hari yang ditentukan. Biarkan nilai kosong sebelum tes; angka 0 berarti sudah mencoba tetapi belum memenuhi kriteria.</t>
  </si>
  <si>
    <t xml:space="preserve">07 · Tempo fleksibel</t>
  </si>
  <si>
    <t xml:space="preserve">120 hari berarti 4 blok 30 hari, bukan persis empat bulan kalender. Target A1 kuat dan pengenalan A2 bukan jaminan kelulusan; ulang satu Day bila perlu.</t>
  </si>
  <si>
    <t xml:space="preserve">08 · Sumber gratis</t>
  </si>
  <si>
    <t xml:space="preserve">Artikel dan halaman pelajaran utama tidak memerlukan pembelian tes atau kelas. Kursus/promosi berbayar tidak perlu diikuti. Video sengaja diulang dengan tugas berbeda.</t>
  </si>
  <si>
    <t xml:space="preserve">09 · Jika masih sulit</t>
  </si>
  <si>
    <t xml:space="preserve">Baca penjelasan Indonesia dahulu, pilih 3–5 baris transkrip, lalu dengar potongan pendek. Tidak perlu memahami seluruh video; perlambat bila tersedia.</t>
  </si>
  <si>
    <t xml:space="preserve">10 · Jika tautan gagal</t>
  </si>
  <si>
    <t xml:space="preserve">Buka Sumber dan cari judul persis di situs penerbit. Untuk VOA, coba tautan unduhan pada halaman. Akses/player dapat berubah; tidak perlu membeli layanan.</t>
  </si>
  <si>
    <t xml:space="preserve">HASIL YANG DITUJU</t>
  </si>
  <si>
    <t xml:space="preserve">Day 1–30: perkenalan, benda/keluarga, lokasi, waktu, dan rutinitas; teks sekitar 60 kata.</t>
  </si>
  <si>
    <t xml:space="preserve">Day 31–60: permintaan, kemampuan, kegiatan sekarang, menu, ajakan, pesan; teks sekitar 70 kata.</t>
  </si>
  <si>
    <t xml:space="preserve">Day 61–90: pengalaman lampau, rencana, perbandingan, saran; cerita sekitar 100 kata.</t>
  </si>
  <si>
    <t xml:space="preserve">Day 91–120: pengenalan perfect, strategi baca/dengar, komunikasi frontend; presentasi 2–3 menit dan teks 120–150 kata.</t>
  </si>
  <si>
    <t xml:space="preserve">Rencana dan contoh disusun khusus, bukan kurikulum resmi atau salinan penuh VOA/British Council. Artikel/transkrip ditautkan setiap Day. Belajar tidak perlu menunggu tes berbayar.</t>
  </si>
  <si>
    <t xml:space="preserve">TRACKER / 120 HARI</t>
  </si>
  <si>
    <t xml:space="preserve">Isi sel biru: aktivitas, menit aktual, paham 1–5, tanggal selesai, catatan, dan bukti. Progres/status otomatis.</t>
  </si>
  <si>
    <t xml:space="preserve">Day</t>
  </si>
  <si>
    <t xml:space="preserve">Tanggal rencana</t>
  </si>
  <si>
    <t xml:space="preserve">Topik</t>
  </si>
  <si>
    <t xml:space="preserve">Kata / review</t>
  </si>
  <si>
    <t xml:space="preserve">Baca</t>
  </si>
  <si>
    <t xml:space="preserve">Video</t>
  </si>
  <si>
    <t xml:space="preserve">Speaking</t>
  </si>
  <si>
    <t xml:space="preserve">Writing</t>
  </si>
  <si>
    <t xml:space="preserve">Status otomatis</t>
  </si>
  <si>
    <t xml:space="preserve">Target menit</t>
  </si>
  <si>
    <t xml:space="preserve">Menit aktual</t>
  </si>
  <si>
    <t xml:space="preserve">Paham 1–5</t>
  </si>
  <si>
    <t xml:space="preserve">Tanggal selesai</t>
  </si>
  <si>
    <t xml:space="preserve">Catatan / kata sulit</t>
  </si>
  <si>
    <t xml:space="preserve">Bukti / lokasi rekaman</t>
  </si>
  <si>
    <t xml:space="preserve">Perlu diulang?</t>
  </si>
  <si>
    <t xml:space="preserve">Alphabet dan mengeja nama</t>
  </si>
  <si>
    <t xml:space="preserve">Belum</t>
  </si>
  <si>
    <t xml:space="preserve">Sapaan dan perkenalan</t>
  </si>
  <si>
    <t xml:space="preserve">I, you, he, she, we, they, it</t>
  </si>
  <si>
    <t xml:space="preserve">Am, is, are untuk identitas</t>
  </si>
  <si>
    <t xml:space="preserve">Kalimat negatif: not</t>
  </si>
  <si>
    <t xml:space="preserve">Pertanyaan Are you ...?</t>
  </si>
  <si>
    <t xml:space="preserve">Review 1: identitas diri</t>
  </si>
  <si>
    <t xml:space="preserve">What, who, where</t>
  </si>
  <si>
    <t xml:space="preserve">My, your, his, her</t>
  </si>
  <si>
    <t xml:space="preserve">Kata benda dan jamak</t>
  </si>
  <si>
    <t xml:space="preserve">A, an, dan the</t>
  </si>
  <si>
    <t xml:space="preserve">This, that, these, those</t>
  </si>
  <si>
    <t xml:space="preserve">Sifat dan keadaan</t>
  </si>
  <si>
    <t xml:space="preserve">Review 2: benda di sekitarku</t>
  </si>
  <si>
    <t xml:space="preserve">Angka 0–100 dan kontak</t>
  </si>
  <si>
    <t xml:space="preserve">Hari, tanggal, dan jam</t>
  </si>
  <si>
    <t xml:space="preserve">Ada: there is / there are</t>
  </si>
  <si>
    <t xml:space="preserve">In, on, at untuk tempat</t>
  </si>
  <si>
    <t xml:space="preserve">Have / has dan barang milikmu</t>
  </si>
  <si>
    <t xml:space="preserve">Keluarga dan possessive 's</t>
  </si>
  <si>
    <t xml:space="preserve">Review 3: kamar dan keluarga</t>
  </si>
  <si>
    <t xml:space="preserve">Simple present: rutinitas saya</t>
  </si>
  <si>
    <t xml:space="preserve">He/she + s/es</t>
  </si>
  <si>
    <t xml:space="preserve">Don't / doesn't</t>
  </si>
  <si>
    <t xml:space="preserve">Do you ...? Does she ...?</t>
  </si>
  <si>
    <t xml:space="preserve">Always, often, sometimes, never</t>
  </si>
  <si>
    <t xml:space="preserve">At 7, on Monday, in September</t>
  </si>
  <si>
    <t xml:space="preserve">Review 4: jadwalku</t>
  </si>
  <si>
    <t xml:space="preserve">Membaca pesan pendek</t>
  </si>
  <si>
    <t xml:space="preserve">Checkpoint bulan 1: profil dan rutinitas</t>
  </si>
  <si>
    <t xml:space="preserve">Me, him, her, us, them</t>
  </si>
  <si>
    <t xml:space="preserve">Kemampuan: can / can't</t>
  </si>
  <si>
    <t xml:space="preserve">Bertanya kemampuan</t>
  </si>
  <si>
    <t xml:space="preserve">Meminta bantuan dengan sopan</t>
  </si>
  <si>
    <t xml:space="preserve">Instruksi sederhana</t>
  </si>
  <si>
    <t xml:space="preserve">Hobi: like dan enjoy</t>
  </si>
  <si>
    <t xml:space="preserve">Review 5: kemampuan dan bantuan</t>
  </si>
  <si>
    <t xml:space="preserve">Sedang melakukan: am/is/are + ing</t>
  </si>
  <si>
    <t xml:space="preserve">Negatif dan tanya continuous</t>
  </si>
  <si>
    <t xml:space="preserve">Rutinitas vs sekarang</t>
  </si>
  <si>
    <t xml:space="preserve">Membicarakan cuaca</t>
  </si>
  <si>
    <t xml:space="preserve">Menggambarkan pakaian dan orang</t>
  </si>
  <si>
    <t xml:space="preserve">Arah dan lingkungan sekitar</t>
  </si>
  <si>
    <t xml:space="preserve">Review 6: aktivitas dan lokasi</t>
  </si>
  <si>
    <t xml:space="preserve">Countable dan uncountable</t>
  </si>
  <si>
    <t xml:space="preserve">Some dan any</t>
  </si>
  <si>
    <t xml:space="preserve">How much, how many, harga</t>
  </si>
  <si>
    <t xml:space="preserve">Membaca menu dan memesan</t>
  </si>
  <si>
    <t xml:space="preserve">Undangan dan respons</t>
  </si>
  <si>
    <t xml:space="preserve">Rencana lewat pesan</t>
  </si>
  <si>
    <t xml:space="preserve">Review 7: makan dan bertemu</t>
  </si>
  <si>
    <t xml:space="preserve">Want vs need</t>
  </si>
  <si>
    <t xml:space="preserve">Because, but, dan so</t>
  </si>
  <si>
    <t xml:space="preserve">Membaca lowongan sederhana</t>
  </si>
  <si>
    <t xml:space="preserve">Pesan kerja sederhana</t>
  </si>
  <si>
    <t xml:space="preserve">Membaca untuk gagasan dan detail</t>
  </si>
  <si>
    <t xml:space="preserve">Mini project: percakapan harian</t>
  </si>
  <si>
    <t xml:space="preserve">Review 8: perbaikan kesalahan</t>
  </si>
  <si>
    <t xml:space="preserve">Latihan integrasi A1</t>
  </si>
  <si>
    <t xml:space="preserve">Checkpoint bulan 2: situasi nyata</t>
  </si>
  <si>
    <t xml:space="preserve">Was dan were</t>
  </si>
  <si>
    <t xml:space="preserve">Wasn't, weren't, pertanyaan lampau</t>
  </si>
  <si>
    <t xml:space="preserve">Past simple: kata kerja -ed</t>
  </si>
  <si>
    <t xml:space="preserve">Bunyi akhir -ed</t>
  </si>
  <si>
    <t xml:space="preserve">Past simple: irregular verbs</t>
  </si>
  <si>
    <t xml:space="preserve">Did dan didn't</t>
  </si>
  <si>
    <t xml:space="preserve">Review 9: cerita kemarin</t>
  </si>
  <si>
    <t xml:space="preserve">Penanda waktu lampau</t>
  </si>
  <si>
    <t xml:space="preserve">First, then, finally</t>
  </si>
  <si>
    <t xml:space="preserve">Email tentang akhir pekan</t>
  </si>
  <si>
    <t xml:space="preserve">Going to untuk rencana</t>
  </si>
  <si>
    <t xml:space="preserve">Going to: negatif dan pertanyaan</t>
  </si>
  <si>
    <t xml:space="preserve">Will untuk keputusan dan janji</t>
  </si>
  <si>
    <t xml:space="preserve">Review 10: kemarin dan besok</t>
  </si>
  <si>
    <t xml:space="preserve">Menyusun jadwal minggu depan</t>
  </si>
  <si>
    <t xml:space="preserve">Comparative: -er dan than</t>
  </si>
  <si>
    <t xml:space="preserve">More useful, better, worse</t>
  </si>
  <si>
    <t xml:space="preserve">Superlative: yang paling</t>
  </si>
  <si>
    <t xml:space="preserve">Membandingkan pilihan bacaan</t>
  </si>
  <si>
    <t xml:space="preserve">I think, agree, disagree</t>
  </si>
  <si>
    <t xml:space="preserve">Review 11: memilih dan menjelaskan</t>
  </si>
  <si>
    <t xml:space="preserve">Adverb: slowly, carefully, well</t>
  </si>
  <si>
    <t xml:space="preserve">Should untuk saran</t>
  </si>
  <si>
    <t xml:space="preserve">Must dan have to</t>
  </si>
  <si>
    <t xml:space="preserve">Past continuous: was doing</t>
  </si>
  <si>
    <t xml:space="preserve">When: kejadian yang menyela</t>
  </si>
  <si>
    <t xml:space="preserve">Cerita masalah dan solusi</t>
  </si>
  <si>
    <t xml:space="preserve">Review 12: saran, aturan, dan cerita</t>
  </si>
  <si>
    <t xml:space="preserve">Mini project: pengalaman dan rencana</t>
  </si>
  <si>
    <t xml:space="preserve">Checkpoint bulan 3: cerita utuh</t>
  </si>
  <si>
    <t xml:space="preserve">Present perfect: pengenalan hasil</t>
  </si>
  <si>
    <t xml:space="preserve">Have you ever ...? Never</t>
  </si>
  <si>
    <t xml:space="preserve">Present perfect vs simple past</t>
  </si>
  <si>
    <t xml:space="preserve">For dan since</t>
  </si>
  <si>
    <t xml:space="preserve">Belajar kosakata dalam frasa</t>
  </si>
  <si>
    <t xml:space="preserve">Skimming dan scanning</t>
  </si>
  <si>
    <t xml:space="preserve">Review 13: pengalaman dan membaca</t>
  </si>
  <si>
    <t xml:space="preserve">Email undangan wawancara</t>
  </si>
  <si>
    <t xml:space="preserve">Membuat profil frontend sederhana</t>
  </si>
  <si>
    <t xml:space="preserve">Meminta klarifikasi pekerjaan</t>
  </si>
  <si>
    <t xml:space="preserve">Menjelaskan alur halaman web</t>
  </si>
  <si>
    <t xml:space="preserve">Melaporkan bug secara sederhana</t>
  </si>
  <si>
    <t xml:space="preserve">Update kerja: kemarin, hari ini, kendala</t>
  </si>
  <si>
    <t xml:space="preserve">Review 14: komunikasi kerja</t>
  </si>
  <si>
    <t xml:space="preserve">Menjelaskan alasan pilihan desain</t>
  </si>
  <si>
    <t xml:space="preserve">Menjelaskan tujuan: to + verb</t>
  </si>
  <si>
    <t xml:space="preserve">Listening tanpa teks putaran pertama</t>
  </si>
  <si>
    <t xml:space="preserve">Dictation pendek</t>
  </si>
  <si>
    <t xml:space="preserve">Shadowing dan tekanan kata</t>
  </si>
  <si>
    <t xml:space="preserve">Presentasi proyek 2 menit</t>
  </si>
  <si>
    <t xml:space="preserve">Review 15: presentasi dan listening</t>
  </si>
  <si>
    <t xml:space="preserve">Membaca tips belajar</t>
  </si>
  <si>
    <t xml:space="preserve">Mengatasi lupa dan membuat review</t>
  </si>
  <si>
    <t xml:space="preserve">Latihan wawancara diri</t>
  </si>
  <si>
    <t xml:space="preserve">Menulis email yang jelas</t>
  </si>
  <si>
    <t xml:space="preserve">Mini simulasi membaca dan mendengar</t>
  </si>
  <si>
    <t xml:space="preserve">Mempersiapkan proyek akhir</t>
  </si>
  <si>
    <t xml:space="preserve">Review 16: perbaikan akhir</t>
  </si>
  <si>
    <t xml:space="preserve">Proyek akhir: demonstrasi kemampuan</t>
  </si>
  <si>
    <t xml:space="preserve">Checkpoint akhir dan rencana berikutnya</t>
  </si>
  <si>
    <t xml:space="preserve">BELAJAR HARI INI</t>
  </si>
  <si>
    <t xml:space="preserve">Ubah nomor Day pada sel biru. Materi mengikuti Rencana 120 Hari; catat progres pada Tracker.</t>
  </si>
  <si>
    <t xml:space="preserve">Pilih Day (1–120)</t>
  </si>
  <si>
    <t xml:space="preserve">TOPIK</t>
  </si>
  <si>
    <t xml:space="preserve">Target hari ini</t>
  </si>
  <si>
    <t xml:space="preserve">Pengertian</t>
  </si>
  <si>
    <t xml:space="preserve">Contoh + arti</t>
  </si>
  <si>
    <t xml:space="preserve">Kosakata</t>
  </si>
  <si>
    <t xml:space="preserve">Review · 10 menit</t>
  </si>
  <si>
    <t xml:space="preserve">Bacaan</t>
  </si>
  <si>
    <t xml:space="preserve">Buka bacaan</t>
  </si>
  <si>
    <t xml:space="preserve">Tugas baca · 10m</t>
  </si>
  <si>
    <t xml:space="preserve">Buka video</t>
  </si>
  <si>
    <t xml:space="preserve">Tugas video · 15m</t>
  </si>
  <si>
    <t xml:space="preserve">Speaking · 10m</t>
  </si>
  <si>
    <t xml:space="preserve">Writing · 10m</t>
  </si>
  <si>
    <t xml:space="preserve">Kriteria selesai</t>
  </si>
  <si>
    <t xml:space="preserve">Progres Day ini</t>
  </si>
  <si>
    <t xml:space="preserve">Sumber dipakai ulang: sesi pertama mengenali makna, sesi berikutnya mendengar tanpa teks dan memproduksi kalimat. Durasi boleh 45–60 menit. Jika target menit di Mulai diubah, sesuaikan alokasi lima kegiatan secara manual.</t>
  </si>
  <si>
    <t xml:space="preserve">120 DAYS / RENCANA LENGKAP</t>
  </si>
  <si>
    <t xml:space="preserve">Database rencana. Untuk membaca satu hari tanpa menggulir ke samping, buka Belajar Hari Ini.</t>
  </si>
  <si>
    <t xml:space="preserve">Bulan</t>
  </si>
  <si>
    <t xml:space="preserve">Jenis sesi</t>
  </si>
  <si>
    <t xml:space="preserve">ID konsep</t>
  </si>
  <si>
    <t xml:space="preserve">Pengertian (Indonesia)</t>
  </si>
  <si>
    <t xml:space="preserve">Kosakata / review</t>
  </si>
  <si>
    <t xml:space="preserve">Judul bacaan</t>
  </si>
  <si>
    <t xml:space="preserve">URL bacaan</t>
  </si>
  <si>
    <t xml:space="preserve">Tugas baca · 10 menit</t>
  </si>
  <si>
    <t xml:space="preserve">Judul video</t>
  </si>
  <si>
    <t xml:space="preserve">URL video</t>
  </si>
  <si>
    <t xml:space="preserve">Tugas video · 15 menit</t>
  </si>
  <si>
    <t xml:space="preserve">Speaking · 10 menit</t>
  </si>
  <si>
    <t xml:space="preserve">Writing · 10 menit</t>
  </si>
  <si>
    <t xml:space="preserve">Pengulangan · 10 menit</t>
  </si>
  <si>
    <t xml:space="preserve">Materi + praktik</t>
  </si>
  <si>
    <t xml:space="preserve">Mengeja nama dan mengenali 26 nama huruf.</t>
  </si>
  <si>
    <t xml:space="preserve">alphabet</t>
  </si>
  <si>
    <t xml:space="preserve">name=nama; letter=huruf; spell=mengeja; first=pertama; last=terakhir</t>
  </si>
  <si>
    <t xml:space="preserve">Lesson 1: Welcome!</t>
  </si>
  <si>
    <t xml:space="preserve">https://learningenglish.voanews.com/a/lets-learn-english-lesson-one/3111026.html</t>
  </si>
  <si>
    <t xml:space="preserve">Baca Conversation dan bagian alphabet; cocokkan huruf nama sendiri.</t>
  </si>
  <si>
    <t xml:space="preserve">Perhatikan cara menyebut nama dan mengeja huruf. Mulai dengan transkrip bila perlu, lalu coba tanpa teks. Ambil cuplikan bila panjang; total latihan 15 menit.</t>
  </si>
  <si>
    <t xml:space="preserve">Rekam nama dan eja 3 kali, 20–30 detik.</t>
  </si>
  <si>
    <t xml:space="preserve">Tulis 3 kalimat nama dan asal memakai contoh.</t>
  </si>
  <si>
    <t xml:space="preserve">Nama dapat dieja tanpa melihat contoh.</t>
  </si>
  <si>
    <t xml:space="preserve">Pelajari 5 kata/frasa hari ini. Tutup catatan dan sebutkan kembali.</t>
  </si>
  <si>
    <t xml:space="preserve">Memulai dan menutup perkenalan singkat.</t>
  </si>
  <si>
    <t xml:space="preserve">greeting</t>
  </si>
  <si>
    <t xml:space="preserve">hello=halo; morning=pagi; meet=bertemu; friend=teman; welcome=selamat datang</t>
  </si>
  <si>
    <t xml:space="preserve">Lesson 2: Hello, I'm Anna!</t>
  </si>
  <si>
    <t xml:space="preserve">https://learningenglish.voanews.com/a/lets-learn-english-lesson-2-hello/3113733.html</t>
  </si>
  <si>
    <t xml:space="preserve">Baca 6 baris awal Conversation; tandai sapaan.</t>
  </si>
  <si>
    <t xml:space="preserve">Tangkap sapaan dan respons perkenalan. Mulai dengan transkrip bila perlu, lalu coba tanpa teks. Ambil cuplikan bila panjang; total latihan 15 menit.</t>
  </si>
  <si>
    <t xml:space="preserve">Mainkan dua peran yang saling menyapa, 30 detik.</t>
  </si>
  <si>
    <t xml:space="preserve">Tulis dialog 4 baris dengan nama sendiri.</t>
  </si>
  <si>
    <t xml:space="preserve">Ada sapaan, nama, dan respons sopan.</t>
  </si>
  <si>
    <t xml:space="preserve">Ulang kata/frasa Day 1. Tambahkan target hari ini; sesi review tidak perlu kata baru.</t>
  </si>
  <si>
    <t xml:space="preserve">Memilih kata ganti untuk 7 subjek.</t>
  </si>
  <si>
    <t xml:space="preserve">pronoun</t>
  </si>
  <si>
    <t xml:space="preserve">I=saya; you=kamu; we=kami/kita; they=mereka; it=itu</t>
  </si>
  <si>
    <t xml:space="preserve">Personal pronouns</t>
  </si>
  <si>
    <t xml:space="preserve">https://learnenglish.britishcouncil.org/free-resources/grammar/english-grammar-reference/personal-pronouns</t>
  </si>
  <si>
    <t xml:space="preserve">Baca tabel subject pronouns saja; cocokkan dengan arti Indonesia.</t>
  </si>
  <si>
    <t xml:space="preserve">Cari kata I dan you pada dialog. Mulai dengan transkrip bila perlu, lalu coba tanpa teks. Ambil cuplikan bila panjang; total latihan 15 menit.</t>
  </si>
  <si>
    <t xml:space="preserve">Sebut 7 orang/benda lalu ganti dengan pronoun.</t>
  </si>
  <si>
    <t xml:space="preserve">Tulis 7 kalimat pendek menggunakan pronoun dan be.</t>
  </si>
  <si>
    <t xml:space="preserve">Sedikitnya 5 dari 7 pronoun tepat.</t>
  </si>
  <si>
    <t xml:space="preserve">Ulang kata/frasa Day 2. Tambahkan target hari ini; sesi review tidak perlu kata baru.</t>
  </si>
  <si>
    <t xml:space="preserve">Menghubungkan orang dengan identitas dan lokasi.</t>
  </si>
  <si>
    <t xml:space="preserve">be</t>
  </si>
  <si>
    <t xml:space="preserve">student=pelajar; worker=pekerja; home=rumah; here=di sini; ready=siap</t>
  </si>
  <si>
    <t xml:space="preserve">Present simple: 'to be'</t>
  </si>
  <si>
    <t xml:space="preserve">https://learnenglish.britishcouncil.org/free-resources/grammar/a1-a2/present-simple-be</t>
  </si>
  <si>
    <t xml:space="preserve">Baca tabel affirmative; kerjakan 5 butir latihan jika tersedia.</t>
  </si>
  <si>
    <t xml:space="preserve">Lesson 3: I'm Here!</t>
  </si>
  <si>
    <t xml:space="preserve">https://learningenglish.voanews.com/a/lets-learn-english-lesson-3-i-am-here/3126527.html</t>
  </si>
  <si>
    <t xml:space="preserve">Temukan bentuk I am dan lokasi. Mulai dengan transkrip bila perlu, lalu coba tanpa teks. Ambil cuplikan bila panjang; total latihan 15 menit.</t>
  </si>
  <si>
    <t xml:space="preserve">Ucapkan 6 kalimat tentang diri/keluarga.</t>
  </si>
  <si>
    <t xml:space="preserve">Tulis 6 kalimat: 2 am, 2 is, 2 are.</t>
  </si>
  <si>
    <t xml:space="preserve">Minimal 5 kalimat memakai be yang tepat.</t>
  </si>
  <si>
    <t xml:space="preserve">Ulang kata/frasa Day 3. Tambahkan target hari ini; sesi review tidak perlu kata baru.</t>
  </si>
  <si>
    <t xml:space="preserve">Mengubah kalimat be positif menjadi negatif.</t>
  </si>
  <si>
    <t xml:space="preserve">negative</t>
  </si>
  <si>
    <t xml:space="preserve">not=tidak; tired=lelah; late=terlambat; happy=senang; alone=sendirian</t>
  </si>
  <si>
    <t xml:space="preserve">Baca bagian negative; tandai posisi not.</t>
  </si>
  <si>
    <t xml:space="preserve">Dengar kontraksi dan bandingkan dengan transkrip. Mulai dengan transkrip bila perlu, lalu coba tanpa teks. Ambil cuplikan bila panjang; total latihan 15 menit.</t>
  </si>
  <si>
    <t xml:space="preserve">Ubah 5 pernyataan menjadi penyangkalan.</t>
  </si>
  <si>
    <t xml:space="preserve">Tulis 5 pasang kalimat positif-negatif.</t>
  </si>
  <si>
    <t xml:space="preserve">Not diletakkan setelah be.</t>
  </si>
  <si>
    <t xml:space="preserve">Ulang kata/frasa Day 4. Tambahkan target hari ini; sesi review tidak perlu kata baru.</t>
  </si>
  <si>
    <t xml:space="preserve">Bertanya identitas/keadaan dan menjawab singkat.</t>
  </si>
  <si>
    <t xml:space="preserve">questionbe</t>
  </si>
  <si>
    <t xml:space="preserve">yes=ya; no=tidak; busy=sibuk; okay=baik-baik; sure=yakin</t>
  </si>
  <si>
    <t xml:space="preserve">Baca questions dan short answers.</t>
  </si>
  <si>
    <t xml:space="preserve">Dengar intonasi pertanyaan dan jawabannya. Mulai dengan transkrip bila perlu, lalu coba tanpa teks. Ambil cuplikan bila panjang; total latihan 15 menit.</t>
  </si>
  <si>
    <t xml:space="preserve">Buat tanya-jawab 5 kali dengan diri sendiri.</t>
  </si>
  <si>
    <t xml:space="preserve">Tulis 5 pertanyaan dan jawaban singkat.</t>
  </si>
  <si>
    <t xml:space="preserve">Be berada sebelum subjek pada pertanyaan.</t>
  </si>
  <si>
    <t xml:space="preserve">Ulang kata/frasa Day 5. Tambahkan target hari ini; sesi review tidak perlu kata baru.</t>
  </si>
  <si>
    <t xml:space="preserve">Review / evaluasi</t>
  </si>
  <si>
    <t xml:space="preserve">Menyatukan sapaan, ejaan, dan be.</t>
  </si>
  <si>
    <t xml:space="preserve">review</t>
  </si>
  <si>
    <t xml:space="preserve">Ulang 10 kata Day 1–6; tanpa kata baru.</t>
  </si>
  <si>
    <t xml:space="preserve">Tutup transkrip; ingat 5 ungkapan, kemudian periksa.</t>
  </si>
  <si>
    <t xml:space="preserve">Tonton ulang untuk menangkap detail yang sebelumnya terlewat. Mulai dengan transkrip bila perlu, lalu coba tanpa teks. Ambil cuplikan bila panjang; total latihan 15 menit.</t>
  </si>
  <si>
    <t xml:space="preserve">Rekam perkenalan 30–45 detik tanpa membaca.</t>
  </si>
  <si>
    <t xml:space="preserve">Tulis 5 kalimat diri sendiri dan 3 pertanyaan.</t>
  </si>
  <si>
    <t xml:space="preserve">Isi Evaluasi Day 7; catat 2 kesalahan utama.</t>
  </si>
  <si>
    <t xml:space="preserve">Ulang kata/frasa Day 6. Tambahkan target hari ini; sesi review tidak perlu kata baru.</t>
  </si>
  <si>
    <t xml:space="preserve">Membedakan pertanyaan orang, benda, dan lokasi.</t>
  </si>
  <si>
    <t xml:space="preserve">wh</t>
  </si>
  <si>
    <t xml:space="preserve">what=apa; who=siapa; where=di mana; thing=benda; person=orang</t>
  </si>
  <si>
    <t xml:space="preserve">Question forms</t>
  </si>
  <si>
    <t xml:space="preserve">https://learnenglish.britishcouncil.org/free-resources/grammar/a1-a2/question-forms</t>
  </si>
  <si>
    <t xml:space="preserve">Baca contoh questions with be; jangan ambil semua tenses.</t>
  </si>
  <si>
    <t xml:space="preserve">Lesson 4: What Is It?</t>
  </si>
  <si>
    <t xml:space="preserve">https://learningenglish.voanews.com/a/lets-learn-english-lesson-4/3168920.html</t>
  </si>
  <si>
    <t xml:space="preserve">Dengarkan pertanyaan tentang benda. Mulai dengan transkrip bila perlu, lalu coba tanpa teks. Ambil cuplikan bila panjang; total latihan 15 menit.</t>
  </si>
  <si>
    <t xml:space="preserve">Ajukan 6 pertanyaan tentang benda/orang di rumah.</t>
  </si>
  <si>
    <t xml:space="preserve">Tulis 2 pertanyaan per kata what/who/where.</t>
  </si>
  <si>
    <t xml:space="preserve">Masing-masing kata tanya digunakan sesuai makna.</t>
  </si>
  <si>
    <t xml:space="preserve">Ulang kata/frasa Day 7 dan Day 1. Tambahkan target hari ini; sesi review tidak perlu kata baru.</t>
  </si>
  <si>
    <t xml:space="preserve">Menyatakan pemilik benda dan hubungan keluarga.</t>
  </si>
  <si>
    <t xml:space="preserve">poss</t>
  </si>
  <si>
    <t xml:space="preserve">my=milik saya; your=milikmu; his=miliknya laki-laki; her=miliknya perempuan; our=milik kami</t>
  </si>
  <si>
    <t xml:space="preserve">Baca bagian possessive adjectives yang ditautkan; jika tidak tampil, gunakan contoh di Kamus Materi.</t>
  </si>
  <si>
    <t xml:space="preserve">Lesson 12: Meet My Family</t>
  </si>
  <si>
    <t xml:space="preserve">https://learningenglish.voanews.com/a/lets-learn-english-lesson-12-meet-my-family/3301733.html</t>
  </si>
  <si>
    <t xml:space="preserve">Perhatikan cara mengenalkan anggota keluarga. Mulai dengan transkrip bila perlu, lalu coba tanpa teks. Ambil cuplikan bila panjang; total latihan 15 menit.</t>
  </si>
  <si>
    <t xml:space="preserve">Tunjukkan 5 benda dan sebut pemiliknya.</t>
  </si>
  <si>
    <t xml:space="preserve">Tulis 6 frasa kepemilikan dan 3 kalimat.</t>
  </si>
  <si>
    <t xml:space="preserve">My/your/his/her diikuti noun.</t>
  </si>
  <si>
    <t xml:space="preserve">Ulang kata/frasa Day 8 dan Day 2. Tambahkan target hari ini; sesi review tidak perlu kata baru.</t>
  </si>
  <si>
    <t xml:space="preserve">Membedakan satu benda dan lebih dari satu.</t>
  </si>
  <si>
    <t xml:space="preserve">noun</t>
  </si>
  <si>
    <t xml:space="preserve">book=buku; bag=tas; key=kunci; chair=kursi; child=anak</t>
  </si>
  <si>
    <t xml:space="preserve">Nouns: countable and uncountable</t>
  </si>
  <si>
    <t xml:space="preserve">https://learnenglish.britishcouncil.org/free-resources/grammar/a1-a2/nouns-countable-uncountable</t>
  </si>
  <si>
    <t xml:space="preserve">Baca countable nouns saja; cari singular/plural.</t>
  </si>
  <si>
    <t xml:space="preserve">Tandai nama benda pada video. Mulai dengan transkrip bila perlu, lalu coba tanpa teks. Ambil cuplikan bila panjang; total latihan 15 menit.</t>
  </si>
  <si>
    <t xml:space="preserve">Sebut 5 benda tunggal dan versi jamaknya.</t>
  </si>
  <si>
    <t xml:space="preserve">Tulis 8 pasangan tunggal-jamak.</t>
  </si>
  <si>
    <t xml:space="preserve">Minimal 6 dari 8 pasangan tepat.</t>
  </si>
  <si>
    <t xml:space="preserve">Ulang kata/frasa Day 9 dan Day 3. Tambahkan target hari ini; sesi review tidak perlu kata baru.</t>
  </si>
  <si>
    <t xml:space="preserve">Memilih a/an berdasar bunyi dan mengenalkan the.</t>
  </si>
  <si>
    <t xml:space="preserve">article</t>
  </si>
  <si>
    <t xml:space="preserve">pen=pena; apple=apel; egg=telur; hour=jam; university=universitas</t>
  </si>
  <si>
    <t xml:space="preserve">Articles: 'a', 'an', 'the'</t>
  </si>
  <si>
    <t xml:space="preserve">https://learnenglish.britishcouncil.org/free-resources/grammar/a1-a2-grammar/articles-a-an-the</t>
  </si>
  <si>
    <t xml:space="preserve">Baca bagian a/an dan the; cukup contoh pertama.</t>
  </si>
  <si>
    <t xml:space="preserve">Perhatikan penyebutan benda yang baru dikenalkan. Mulai dengan transkrip bila perlu, lalu coba tanpa teks. Ambil cuplikan bila panjang; total latihan 15 menit.</t>
  </si>
  <si>
    <t xml:space="preserve">Beri nama 6 benda dengan a/an.</t>
  </si>
  <si>
    <t xml:space="preserve">Tulis 3 pasangan kalimat: benda baru lalu benda yang sama dengan the.</t>
  </si>
  <si>
    <t xml:space="preserve">Paham an hour dan a university.</t>
  </si>
  <si>
    <t xml:space="preserve">Ulang kata/frasa Day 10 dan Day 4. Tambahkan target hari ini; sesi review tidak perlu kata baru.</t>
  </si>
  <si>
    <t xml:space="preserve">Menunjuk benda dekat/jauh dan tunggal/jamak.</t>
  </si>
  <si>
    <t xml:space="preserve">demonstrative</t>
  </si>
  <si>
    <t xml:space="preserve">this=ini tunggal; that=itu tunggal; these=ini jamak; those=itu jamak; near=dekat</t>
  </si>
  <si>
    <t xml:space="preserve">Baca Conversation; gunakan materi worksheet sebagai pendamping.</t>
  </si>
  <si>
    <t xml:space="preserve">Amati benda yang ditunjuk pembicara. Mulai dengan transkrip bila perlu, lalu coba tanpa teks. Ambil cuplikan bila panjang; total latihan 15 menit.</t>
  </si>
  <si>
    <t xml:space="preserve">Tunjuk 8 benda sambil memilih kata penunjuk.</t>
  </si>
  <si>
    <t xml:space="preserve">Tulis 2 kalimat untuk setiap kata penunjuk.</t>
  </si>
  <si>
    <t xml:space="preserve">Minimal 6 dari 8 pilihan tepat.</t>
  </si>
  <si>
    <t xml:space="preserve">Ulang kata/frasa Day 11 dan Day 5. Tambahkan target hari ini; sesi review tidak perlu kata baru.</t>
  </si>
  <si>
    <t xml:space="preserve">Menggambarkan benda dan cuaca dengan adjective.</t>
  </si>
  <si>
    <t xml:space="preserve">adjective</t>
  </si>
  <si>
    <t xml:space="preserve">hot=panas; cold=dingin; small=kecil; big=besar; clean=bersih</t>
  </si>
  <si>
    <t xml:space="preserve">Adjectives</t>
  </si>
  <si>
    <t xml:space="preserve">https://learnenglish.britishcouncil.org/free-resources/grammar/english-grammar-reference/adjectives</t>
  </si>
  <si>
    <t xml:space="preserve">Baca adjective sebelum noun dan setelah be.</t>
  </si>
  <si>
    <t xml:space="preserve">Lesson 9: Is It Cold?</t>
  </si>
  <si>
    <t xml:space="preserve">https://learningenglish.voanews.com/a/lets-learn-english-lesson-9-is-it-cold/3261789.html</t>
  </si>
  <si>
    <t xml:space="preserve">Dengar kata sifat cuaca. Mulai dengan transkrip bila perlu, lalu coba tanpa teks. Ambil cuplikan bila panjang; total latihan 15 menit.</t>
  </si>
  <si>
    <t xml:space="preserve">Ceritakan cuaca dan 3 benda di kamar.</t>
  </si>
  <si>
    <t xml:space="preserve">Tulis 5 kalimat sifat tanpa menambah -s pada adjective.</t>
  </si>
  <si>
    <t xml:space="preserve">Setidaknya 4 kalimat susunannya tepat.</t>
  </si>
  <si>
    <t xml:space="preserve">Ulang kata/frasa Day 12 dan Day 6. Tambahkan target hari ini; sesi review tidak perlu kata baru.</t>
  </si>
  <si>
    <t xml:space="preserve">Menggabungkan noun, article, possessive, adjective.</t>
  </si>
  <si>
    <t xml:space="preserve">Ulang 10 kata Day 8–13; tanpa kata baru.</t>
  </si>
  <si>
    <t xml:space="preserve">Kerjakan ulang 5 butir artikel tanpa catatan.</t>
  </si>
  <si>
    <t xml:space="preserve">Jeda sebelum jawaban; tebak benda yang dibahas. Mulai dengan transkrip bila perlu, lalu coba tanpa teks. Ambil cuplikan bila panjang; total latihan 15 menit.</t>
  </si>
  <si>
    <t xml:space="preserve">Deskripsikan 5 benda selama 45 detik.</t>
  </si>
  <si>
    <t xml:space="preserve">Tulis 6 kalimat dan koreksi article/jamak.</t>
  </si>
  <si>
    <t xml:space="preserve">Isi Evaluasi Day 14; simpan rekaman.</t>
  </si>
  <si>
    <t xml:space="preserve">Ulang kata/frasa Day 13 dan Day 7. Tambahkan target hari ini; sesi review tidak perlu kata baru.</t>
  </si>
  <si>
    <t xml:space="preserve">Membaca angka dan informasi kontak dasar.</t>
  </si>
  <si>
    <t xml:space="preserve">number</t>
  </si>
  <si>
    <t xml:space="preserve">zero=nol; ten=sepuluh; twenty=dua puluh; number=angka; phone=telepon</t>
  </si>
  <si>
    <t xml:space="preserve">Business cards</t>
  </si>
  <si>
    <t xml:space="preserve">https://learnenglish.britishcouncil.org/free-resources/reading/a1/business-cards</t>
  </si>
  <si>
    <t xml:space="preserve">Baca 2 business cards; cari nama, pekerjaan, dan nomor.</t>
  </si>
  <si>
    <t xml:space="preserve">Lesson 16: Where Are You From?</t>
  </si>
  <si>
    <t xml:space="preserve">https://learningenglish.voanews.com/a/lets-learn-english-lesson-16-where-are-you-from/3355849.html</t>
  </si>
  <si>
    <t xml:space="preserve">Tangkap asal orang; gunakan angka untuk informasi profil sendiri. Mulai dengan transkrip bila perlu, lalu coba tanpa teks. Ambil cuplikan bila panjang; total latihan 15 menit.</t>
  </si>
  <si>
    <t xml:space="preserve">Sebut angka acak dan nomor telepon fiktif.</t>
  </si>
  <si>
    <t xml:space="preserve">Buat kartu nama fiktif 5 baris.</t>
  </si>
  <si>
    <t xml:space="preserve">Tidak memakai nomor pribadi saat latihan publik.</t>
  </si>
  <si>
    <t xml:space="preserve">Ulang kata/frasa Day 14 dan Day 8. Tambahkan target hari ini; sesi review tidak perlu kata baru.</t>
  </si>
  <si>
    <t xml:space="preserve">Menyebut hari dan jam belajar.</t>
  </si>
  <si>
    <t xml:space="preserve">Monday=Senin; Tuesday=Selasa; week=minggu; today=hari ini; tomorrow=besok</t>
  </si>
  <si>
    <t xml:space="preserve">A study timetable</t>
  </si>
  <si>
    <t xml:space="preserve">https://learnenglish.britishcouncil.org/free-resources/reading/a1/study-timetable</t>
  </si>
  <si>
    <t xml:space="preserve">Cari hari/jam pada study timetable.</t>
  </si>
  <si>
    <t xml:space="preserve">Lesson 17: Are You Free on Friday?</t>
  </si>
  <si>
    <t xml:space="preserve">https://learningenglish.voanews.com/a/are-you-free-on-friday-lets-learn-english/3355785.html</t>
  </si>
  <si>
    <t xml:space="preserve">Dengar hari dan waktu ajakan bertemu. Mulai dengan transkrip bila perlu, lalu coba tanpa teks. Ambil cuplikan bila panjang; total latihan 15 menit.</t>
  </si>
  <si>
    <t xml:space="preserve">Sebut jadwal 3 hari berikutnya.</t>
  </si>
  <si>
    <t xml:space="preserve">Tulis jadwal belajar 5 baris.</t>
  </si>
  <si>
    <t xml:space="preserve">Bisa menyebut waktu sesi pukul 19.00.</t>
  </si>
  <si>
    <t xml:space="preserve">Ulang kata/frasa Day 15 dan Day 9. Tambahkan target hari ini; sesi review tidak perlu kata baru.</t>
  </si>
  <si>
    <t xml:space="preserve">Menjelaskan isi sebuah ruangan.</t>
  </si>
  <si>
    <t xml:space="preserve">there</t>
  </si>
  <si>
    <t xml:space="preserve">room=kamar; desk=meja; door=pintu; window=jendela; floor=lantai</t>
  </si>
  <si>
    <t xml:space="preserve">Using 'there is' and 'there are'</t>
  </si>
  <si>
    <t xml:space="preserve">https://learnenglish.britishcouncil.org/free-resources/grammar/a1-a2/using-there-there-are</t>
  </si>
  <si>
    <t xml:space="preserve">Baca bentuk singular/plural dan latihan pertama.</t>
  </si>
  <si>
    <t xml:space="preserve">Lesson 6: Where Is the Gym?</t>
  </si>
  <si>
    <t xml:space="preserve">https://learningenglish.voanews.com/a/lets-learn-english-lesson-6-where-is-the-gym/3225958.html</t>
  </si>
  <si>
    <t xml:space="preserve">Amati lokasi fasilitas dalam video. Mulai dengan transkrip bila perlu, lalu coba tanpa teks. Ambil cuplikan bila panjang; total latihan 15 menit.</t>
  </si>
  <si>
    <t xml:space="preserve">Sebut 5 benda yang ada di kamar.</t>
  </si>
  <si>
    <t xml:space="preserve">Tulis 3 there is dan 3 there are.</t>
  </si>
  <si>
    <t xml:space="preserve">Jumlah benda cocok dengan is/are.</t>
  </si>
  <si>
    <t xml:space="preserve">Ulang kata/frasa Day 16 dan Day 10. Tambahkan target hari ini; sesi review tidak perlu kata baru.</t>
  </si>
  <si>
    <t xml:space="preserve">Menyebut posisi orang/benda sederhana.</t>
  </si>
  <si>
    <t xml:space="preserve">place</t>
  </si>
  <si>
    <t xml:space="preserve">in=di dalam; on=di atas permukaan; at=di titik/tempat; table=meja; office=kantor</t>
  </si>
  <si>
    <t xml:space="preserve">Prepositions of place: 'in', 'on', 'at'</t>
  </si>
  <si>
    <t xml:space="preserve">https://learnenglish.britishcouncil.org/free-resources/grammar/a1-a2/prepositions-place</t>
  </si>
  <si>
    <t xml:space="preserve">Baca perbedaan in/on/at dan contoh lokasi.</t>
  </si>
  <si>
    <t xml:space="preserve">Lesson 5: Where Are You?</t>
  </si>
  <si>
    <t xml:space="preserve">https://learningenglish.voanews.com/a/lets-learn-english-lesson-5-where-are-you/3168971.html</t>
  </si>
  <si>
    <t xml:space="preserve">Dengar pertanyaan lokasi. Mulai dengan transkrip bila perlu, lalu coba tanpa teks. Ambil cuplikan bila panjang; total latihan 15 menit.</t>
  </si>
  <si>
    <t xml:space="preserve">Pindahkan 3 benda dan jelaskan letaknya.</t>
  </si>
  <si>
    <t xml:space="preserve">Tulis 6 kalimat lokasi berdasarkan kamar.</t>
  </si>
  <si>
    <t xml:space="preserve">Minimal 4 lokasi dapat dipahami.</t>
  </si>
  <si>
    <t xml:space="preserve">Ulang kata/frasa Day 17 dan Day 11. Tambahkan target hari ini; sesi review tidak perlu kata baru.</t>
  </si>
  <si>
    <t xml:space="preserve">Menyatakan kepemilikan memakai have/has.</t>
  </si>
  <si>
    <t xml:space="preserve">have</t>
  </si>
  <si>
    <t xml:space="preserve">have=punya; laptop=laptop; cup=cangkir; kitchen=dapur; house=rumah</t>
  </si>
  <si>
    <t xml:space="preserve">Present simple: 'have got'</t>
  </si>
  <si>
    <t xml:space="preserve">https://learnenglish.britishcouncil.org/free-resources/grammar/a1-a2/present-simple-have-got</t>
  </si>
  <si>
    <t xml:space="preserve">Baca penjelasan have vs have got; fokus makna kepemilikan.</t>
  </si>
  <si>
    <t xml:space="preserve">Lesson 10: Come Over to My Place</t>
  </si>
  <si>
    <t xml:space="preserve">https://learningenglish.voanews.com/a/lets-learn-english-lesson-10/3285228.html</t>
  </si>
  <si>
    <t xml:space="preserve">Catat barang yang disebut di rumah. Mulai dengan transkrip bila perlu, lalu coba tanpa teks. Ambil cuplikan bila panjang; total latihan 15 menit.</t>
  </si>
  <si>
    <t xml:space="preserve">Sebut 3 barangmu dan 3 barang anggota keluarga.</t>
  </si>
  <si>
    <t xml:space="preserve">Tulis 6 kalimat have/has.</t>
  </si>
  <si>
    <t xml:space="preserve">He/she memakai has pada kalimat positif.</t>
  </si>
  <si>
    <t xml:space="preserve">Ulang kata/frasa Day 18 dan Day 12. Tambahkan target hari ini; sesi review tidak perlu kata baru.</t>
  </si>
  <si>
    <t xml:space="preserve">Mengenalkan keluarga dan benda miliknya.</t>
  </si>
  <si>
    <t xml:space="preserve">possessives</t>
  </si>
  <si>
    <t xml:space="preserve">mother=ibu; father=ayah; sister=saudara perempuan; brother=saudara laki-laki; family=keluarga</t>
  </si>
  <si>
    <t xml:space="preserve">Possessive 's</t>
  </si>
  <si>
    <t xml:space="preserve">https://learnenglish.britishcouncil.org/free-resources/grammar/a1-a2/possessive-s</t>
  </si>
  <si>
    <t xml:space="preserve">Baca aturan nama + 's dan contoh pertama.</t>
  </si>
  <si>
    <t xml:space="preserve">Cari hubungan antaranggota keluarga. Mulai dengan transkrip bila perlu, lalu coba tanpa teks. Ambil cuplikan bila panjang; total latihan 15 menit.</t>
  </si>
  <si>
    <t xml:space="preserve">Kenalkan 3 anggota keluarga dalam 45 detik.</t>
  </si>
  <si>
    <t xml:space="preserve">Tulis 5 kalimat menggunakan nama + 's.</t>
  </si>
  <si>
    <t xml:space="preserve">Bisa membedakan my sister dan my sister's bag.</t>
  </si>
  <si>
    <t xml:space="preserve">Ulang kata/frasa Day 19 dan Day 13. Tambahkan target hari ini; sesi review tidak perlu kata baru.</t>
  </si>
  <si>
    <t xml:space="preserve">Menggabungkan lokasi, kepemilikan, dan keluarga.</t>
  </si>
  <si>
    <t xml:space="preserve">Ulang 10 kata Day 15–20; tanpa kata baru.</t>
  </si>
  <si>
    <t xml:space="preserve">Ulangi 5 soal there is/are lalu cek.</t>
  </si>
  <si>
    <t xml:space="preserve">Dengar tanpa teks pertama kali; catat siapa yang dibahas. Mulai dengan transkrip bila perlu, lalu coba tanpa teks. Ambil cuplikan bila panjang; total latihan 15 menit.</t>
  </si>
  <si>
    <t xml:space="preserve">Tur kamar lisan 1 menit dengan 5 benda.</t>
  </si>
  <si>
    <t xml:space="preserve">Tulis deskripsi rumah/keluarga 40–50 kata.</t>
  </si>
  <si>
    <t xml:space="preserve">Isi Evaluasi Day 21; koreksi 2 pola terlemah.</t>
  </si>
  <si>
    <t xml:space="preserve">Ulang kata/frasa Day 20 dan Day 14. Tambahkan target hari ini; sesi review tidak perlu kata baru.</t>
  </si>
  <si>
    <t xml:space="preserve">Menceritakan kebiasaan memakai I + verb.</t>
  </si>
  <si>
    <t xml:space="preserve">present</t>
  </si>
  <si>
    <t xml:space="preserve">wake=bangun; eat=makan; drink=minum; work=bekerja; study=belajar</t>
  </si>
  <si>
    <t xml:space="preserve">Present simple</t>
  </si>
  <si>
    <t xml:space="preserve">https://learnenglish.britishcouncil.org/free-resources/grammar/a1-a2/present-simple</t>
  </si>
  <si>
    <t xml:space="preserve">Baca bagian rutinitas pada grammar explanation.</t>
  </si>
  <si>
    <t xml:space="preserve">Lesson 18: She Always Does That</t>
  </si>
  <si>
    <t xml:space="preserve">https://learningenglish.voanews.com/a/lets-learn-english-lesson-18-she-always-does-that/3357748.html</t>
  </si>
  <si>
    <t xml:space="preserve">Dengar kebiasaan yang berulang dalam video. Mulai dengan transkrip bila perlu, lalu coba tanpa teks. Ambil cuplikan bila panjang; total latihan 15 menit.</t>
  </si>
  <si>
    <t xml:space="preserve">Ucapkan 6 aktivitas harian berurutan.</t>
  </si>
  <si>
    <t xml:space="preserve">Tulis 6 kalimat I dengan kata kerja dasar.</t>
  </si>
  <si>
    <t xml:space="preserve">Tidak menambahkan am sebelum kata kerja biasa.</t>
  </si>
  <si>
    <t xml:space="preserve">Ulang kata/frasa Day 21 dan Day 15. Tambahkan target hari ini; sesi review tidak perlu kata baru.</t>
  </si>
  <si>
    <t xml:space="preserve">Menceritakan kebiasaan orang lain.</t>
  </si>
  <si>
    <t xml:space="preserve">start=mulai; finish=selesai; watch=menonton; read=membaca; sleep=tidur</t>
  </si>
  <si>
    <t xml:space="preserve">Baca aturan s/es dan y→ies.</t>
  </si>
  <si>
    <t xml:space="preserve">Cari kata kerja setelah he/she. Mulai dengan transkrip bila perlu, lalu coba tanpa teks. Ambil cuplikan bila panjang; total latihan 15 menit.</t>
  </si>
  <si>
    <t xml:space="preserve">Ubah 5 kalimat I menjadi she.</t>
  </si>
  <si>
    <t xml:space="preserve">Tulis 6 kalimat rutinitas anggota keluarga.</t>
  </si>
  <si>
    <t xml:space="preserve">Minimal 5 kata kerja orang ketiga tepat.</t>
  </si>
  <si>
    <t xml:space="preserve">Ulang kata/frasa Day 22 dan Day 16. Tambahkan target hari ini; sesi review tidak perlu kata baru.</t>
  </si>
  <si>
    <t xml:space="preserve">Menyatakan kebiasaan yang tidak dilakukan.</t>
  </si>
  <si>
    <t xml:space="preserve">do</t>
  </si>
  <si>
    <t xml:space="preserve">do=kata bantu/melakukan; daily=harian; weekend=akhir pekan; early=awal; often=sering</t>
  </si>
  <si>
    <t xml:space="preserve">Baca bentuk negative; perhatikan verb dasar setelah doesn't.</t>
  </si>
  <si>
    <t xml:space="preserve">Lesson 19: When Do I Start?</t>
  </si>
  <si>
    <t xml:space="preserve">https://learningenglish.voanews.com/a/lets-learn-english-lesson-19-when-do-you-start/3357760.html</t>
  </si>
  <si>
    <t xml:space="preserve">Catat informasi jadwal kerja yang terdengar. Mulai dengan transkrip bila perlu, lalu coba tanpa teks. Ambil cuplikan bila panjang; total latihan 15 menit.</t>
  </si>
  <si>
    <t xml:space="preserve">Ucapkan 6 kebiasaan positif-negatif.</t>
  </si>
  <si>
    <t xml:space="preserve">Tulis 3 don't dan 3 doesn't.</t>
  </si>
  <si>
    <t xml:space="preserve">Tidak menulis doesn't works.</t>
  </si>
  <si>
    <t xml:space="preserve">Ulang kata/frasa Day 23 dan Day 17. Tambahkan target hari ini; sesi review tidak perlu kata baru.</t>
  </si>
  <si>
    <t xml:space="preserve">Membuat pertanyaan rutinitas.</t>
  </si>
  <si>
    <t xml:space="preserve">when=kapan; why=mengapa; how=bagaimana; usually=biasanya; every=setiap</t>
  </si>
  <si>
    <t xml:space="preserve">Baca present simple questions saja.</t>
  </si>
  <si>
    <t xml:space="preserve">Tangkap pertanyaan mengenai mulai bekerja. Mulai dengan transkrip bila perlu, lalu coba tanpa teks. Ambil cuplikan bila panjang; total latihan 15 menit.</t>
  </si>
  <si>
    <t xml:space="preserve">Mainkan wawancara kebiasaan 6 tanya-jawab.</t>
  </si>
  <si>
    <t xml:space="preserve">Tulis 3 do dan 3 does beserta jawaban.</t>
  </si>
  <si>
    <t xml:space="preserve">Pertanyaan memakai verb dasar.</t>
  </si>
  <si>
    <t xml:space="preserve">Ulang kata/frasa Day 24 dan Day 18. Tambahkan target hari ini; sesi review tidak perlu kata baru.</t>
  </si>
  <si>
    <t xml:space="preserve">Menjelaskan frekuensi tanpa angka pasti.</t>
  </si>
  <si>
    <t xml:space="preserve">frequency</t>
  </si>
  <si>
    <t xml:space="preserve">always=selalu; usually=biasanya; often=sering; sometimes=kadang; never=tidak pernah</t>
  </si>
  <si>
    <t xml:space="preserve">Cari bagian adverbs of frequency pada contoh present simple.</t>
  </si>
  <si>
    <t xml:space="preserve">Hitung ungkapan kebiasaan yang tertangkap. Mulai dengan transkrip bila perlu, lalu coba tanpa teks. Ambil cuplikan bila panjang; total latihan 15 menit.</t>
  </si>
  <si>
    <t xml:space="preserve">Ceritakan 5 kebiasaan dengan frekuensi berbeda.</t>
  </si>
  <si>
    <t xml:space="preserve">Tulis 5 kalimat frekuensi.</t>
  </si>
  <si>
    <t xml:space="preserve">Adverb ditempatkan wajar sebelum verb atau setelah be.</t>
  </si>
  <si>
    <t xml:space="preserve">Ulang kata/frasa Day 25 dan Day 19. Tambahkan target hari ini; sesi review tidak perlu kata baru.</t>
  </si>
  <si>
    <t xml:space="preserve">Menghubungkan kegiatan dengan waktu.</t>
  </si>
  <si>
    <t xml:space="preserve">timeprep</t>
  </si>
  <si>
    <t xml:space="preserve">at=pada jam; on=pada hari; in=pada bulan; evening=sore/malam; night=malam</t>
  </si>
  <si>
    <t xml:space="preserve">Prepositions of time: 'at', 'in', 'on'</t>
  </si>
  <si>
    <t xml:space="preserve">https://learnenglish.britishcouncil.org/free-resources/grammar/a1-a2-grammar/prepositions-of-time-at-in-on</t>
  </si>
  <si>
    <t xml:space="preserve">Baca tabel at/on/in; catat at night.</t>
  </si>
  <si>
    <t xml:space="preserve">Dengar rencana waktu bertemu. Mulai dengan transkrip bila perlu, lalu coba tanpa teks. Ambil cuplikan bila panjang; total latihan 15 menit.</t>
  </si>
  <si>
    <t xml:space="preserve">Sebut jadwal kerja/belajar selama 1 menit.</t>
  </si>
  <si>
    <t xml:space="preserve">Tulis 6 kalimat waktu.</t>
  </si>
  <si>
    <t xml:space="preserve">Minimal 5 preposition waktu tepat.</t>
  </si>
  <si>
    <t xml:space="preserve">Ulang kata/frasa Day 26 dan Day 20. Tambahkan target hari ini; sesi review tidak perlu kata baru.</t>
  </si>
  <si>
    <t xml:space="preserve">Menjelaskan rutinitas dan bertanya jadwal.</t>
  </si>
  <si>
    <t xml:space="preserve">Ulang kata Day 22–27; tanpa kata baru.</t>
  </si>
  <si>
    <t xml:space="preserve">Baca timetable; temukan 5 hari/jam tanpa terjemahan penuh.</t>
  </si>
  <si>
    <t xml:space="preserve">Tonton ulang dan tulis 3 kebiasaan yang terdengar. Mulai dengan transkrip bila perlu, lalu coba tanpa teks. Ambil cuplikan bila panjang; total latihan 15 menit.</t>
  </si>
  <si>
    <t xml:space="preserve">Ceritakan hari biasa selama 1 menit.</t>
  </si>
  <si>
    <t xml:space="preserve">Tulis rutinitas 50 kata dan 4 pertanyaan.</t>
  </si>
  <si>
    <t xml:space="preserve">Isi Evaluasi Day 28; cek do/does dan s/es.</t>
  </si>
  <si>
    <t xml:space="preserve">Ulang kata/frasa Day 27 dan Day 21. Tambahkan target hari ini; sesi review tidak perlu kata baru.</t>
  </si>
  <si>
    <t xml:space="preserve">Mengerti tujuan pesan dan memberi respons.</t>
  </si>
  <si>
    <t xml:space="preserve">email</t>
  </si>
  <si>
    <t xml:space="preserve">message=pesan; busy=sibuk; free=luang; later=nanti; sorry=maaf</t>
  </si>
  <si>
    <t xml:space="preserve">Text messages to a friend</t>
  </si>
  <si>
    <t xml:space="preserve">https://learnenglish.britishcouncil.org/free-resources/reading/a1/text-messages-friend</t>
  </si>
  <si>
    <t xml:space="preserve">Baca text messages; cari siapa, rencana apa, kapan.</t>
  </si>
  <si>
    <t xml:space="preserve">Lesson 8: Are You Busy?</t>
  </si>
  <si>
    <t xml:space="preserve">https://learningenglish.voanews.com/a/lets-learn-english-lesson-8-are-you-busy/3253185.html</t>
  </si>
  <si>
    <t xml:space="preserve">Dengar ungkapan sedang sibuk dan responsnya; belum perlu menguasai semua -ing. Mulai dengan transkrip bila perlu, lalu coba tanpa teks. Ambil cuplikan bila panjang; total latihan 15 menit.</t>
  </si>
  <si>
    <t xml:space="preserve">Mainkan percakapan ajakan 6 baris.</t>
  </si>
  <si>
    <t xml:space="preserve">Tulis pesan ajakan belajar 30–40 kata.</t>
  </si>
  <si>
    <t xml:space="preserve">Pesan menyebut kegiatan dan waktu.</t>
  </si>
  <si>
    <t xml:space="preserve">Ulang kata/frasa Day 28 dan Day 22. Tambahkan target hari ini; sesi review tidak perlu kata baru.</t>
  </si>
  <si>
    <t xml:space="preserve">Memeriksa fondasi, bukan mengejar skor tes resmi.</t>
  </si>
  <si>
    <t xml:space="preserve">rubric</t>
  </si>
  <si>
    <t xml:space="preserve">Review 20 kata paling sulit bulan 1.</t>
  </si>
  <si>
    <t xml:space="preserve">Baca business cards; jawab nama, pekerjaan, kontak.</t>
  </si>
  <si>
    <t xml:space="preserve">Dengar ulang perkenalan; tulis 5 informasi yang dipahami. Mulai dengan transkrip bila perlu, lalu coba tanpa teks. Ambil cuplikan bila panjang; total latihan 15 menit.</t>
  </si>
  <si>
    <t xml:space="preserve">Rekam perkenalan + rutinitas 60 detik.</t>
  </si>
  <si>
    <t xml:space="preserve">Tulis profil 60 kata dan koreksi memakai Kamus Materi.</t>
  </si>
  <si>
    <t xml:space="preserve">Isi Evaluasi Day 30; ulangi topik yang belum kuat.</t>
  </si>
  <si>
    <t xml:space="preserve">Ulang kata/frasa Day 29 dan Day 23. Tambahkan target hari ini; sesi review tidak perlu kata baru.</t>
  </si>
  <si>
    <t xml:space="preserve">Membedakan pelaku dari penerima tindakan.</t>
  </si>
  <si>
    <t xml:space="preserve">object</t>
  </si>
  <si>
    <t xml:space="preserve">me=saya objek; him=dia laki-laki objek; her=dia perempuan objek; us=kami/kita objek; them=mereka objek</t>
  </si>
  <si>
    <t xml:space="preserve">Baca object pronouns dan contoh setelah preposition.</t>
  </si>
  <si>
    <t xml:space="preserve">Cari kata yang merujuk orang yang sama. Mulai dengan transkrip bila perlu, lalu coba tanpa teks. Ambil cuplikan bila panjang; total latihan 15 menit.</t>
  </si>
  <si>
    <t xml:space="preserve">Ucapkan 5 kalimat seseorang membantu orang lain.</t>
  </si>
  <si>
    <t xml:space="preserve">Tulis 6 pasang subjek-objek, seperti she helps me.</t>
  </si>
  <si>
    <t xml:space="preserve">Minimal 5 objek dipilih tepat.</t>
  </si>
  <si>
    <t xml:space="preserve">Ulang kata/frasa Day 30 dan Day 24. Tambahkan target hari ini; sesi review tidak perlu kata baru.</t>
  </si>
  <si>
    <t xml:space="preserve">Menyatakan 3 kemampuan dan 2 keterbatasan.</t>
  </si>
  <si>
    <t xml:space="preserve">can</t>
  </si>
  <si>
    <t xml:space="preserve">can=bisa; swim=berenang; cook=memasak; drive=mengemudi; code=menulis kode</t>
  </si>
  <si>
    <t xml:space="preserve">'can' and 'could'</t>
  </si>
  <si>
    <t xml:space="preserve">https://learnenglish.britishcouncil.org/free-resources/grammar/english-grammar-reference/can-could</t>
  </si>
  <si>
    <t xml:space="preserve">Baca can untuk ability saja.</t>
  </si>
  <si>
    <t xml:space="preserve">Lesson 20: What Can You Do?</t>
  </si>
  <si>
    <t xml:space="preserve">https://learningenglish.voanews.com/a/lets-learn-english-lesson-20-what-can-you-do/3384429.html</t>
  </si>
  <si>
    <t xml:space="preserve">Catat kemampuan yang disebutkan. Mulai dengan transkrip bila perlu, lalu coba tanpa teks. Ambil cuplikan bila panjang; total latihan 15 menit.</t>
  </si>
  <si>
    <t xml:space="preserve">Rekam kemampuan diri 45 detik.</t>
  </si>
  <si>
    <t xml:space="preserve">Tulis 5 can dan 3 can't.</t>
  </si>
  <si>
    <t xml:space="preserve">Tidak menulis can to atau can works.</t>
  </si>
  <si>
    <t xml:space="preserve">Ulang kata/frasa Day 31 dan Day 25. Tambahkan target hari ini; sesi review tidak perlu kata baru.</t>
  </si>
  <si>
    <t xml:space="preserve">Mengajukan pertanyaan can dan jawaban singkat.</t>
  </si>
  <si>
    <t xml:space="preserve">help=membantu; speak=berbicara; write=menulis; draw=menggambar; sing=bernyanyi</t>
  </si>
  <si>
    <t xml:space="preserve">Baca pola pertanyaan can.</t>
  </si>
  <si>
    <t xml:space="preserve">Jeda sebelum respons dan tebak jawabannya. Mulai dengan transkrip bila perlu, lalu coba tanpa teks. Ambil cuplikan bila panjang; total latihan 15 menit.</t>
  </si>
  <si>
    <t xml:space="preserve">Mainkan 6 tanya-jawab kemampuan.</t>
  </si>
  <si>
    <t xml:space="preserve">Tulis dialog 8 baris mengenai keterampilan.</t>
  </si>
  <si>
    <t xml:space="preserve">Can mendahului subjek dalam pertanyaan.</t>
  </si>
  <si>
    <t xml:space="preserve">Ulang kata/frasa Day 32 dan Day 26. Tambahkan target hari ini; sesi review tidak perlu kata baru.</t>
  </si>
  <si>
    <t xml:space="preserve">Meminta pengulangan dan bantuan.</t>
  </si>
  <si>
    <t xml:space="preserve">request</t>
  </si>
  <si>
    <t xml:space="preserve">please=tolong; repeat=ulangi; explain=jelaskan; slowly=perlahan; again=lagi</t>
  </si>
  <si>
    <t xml:space="preserve">Baca can/could untuk request; pilih 3 pola.</t>
  </si>
  <si>
    <t xml:space="preserve">Lesson 47: How Can I help?</t>
  </si>
  <si>
    <t xml:space="preserve">https://learningenglish.voanews.com/a/lets-learn-english-lesson-47-how-can-i-help/3737352.html</t>
  </si>
  <si>
    <t xml:space="preserve">Dengar ungkapan menawarkan/meminta bantuan. Mulai dengan transkrip bila perlu, lalu coba tanpa teks. Ambil cuplikan bila panjang; total latihan 15 menit.</t>
  </si>
  <si>
    <t xml:space="preserve">Latih 5 permintaan yang relevan saat kerja.</t>
  </si>
  <si>
    <t xml:space="preserve">Tulis 5 permintaan memakai can/could.</t>
  </si>
  <si>
    <t xml:space="preserve">Permintaan jelas dan memakai verb dasar.</t>
  </si>
  <si>
    <t xml:space="preserve">Ulang kata/frasa Day 33 dan Day 27. Tambahkan target hari ini; sesi review tidak perlu kata baru.</t>
  </si>
  <si>
    <t xml:space="preserve">Memberi 4 langkah instruksi.</t>
  </si>
  <si>
    <t xml:space="preserve">imperative</t>
  </si>
  <si>
    <t xml:space="preserve">open=buka; close=tutup; click=klik; wait=tunggu; check=periksa</t>
  </si>
  <si>
    <t xml:space="preserve">Notes at work</t>
  </si>
  <si>
    <t xml:space="preserve">https://learnenglish.britishcouncil.org/free-resources/reading/a1/notes-work</t>
  </si>
  <si>
    <t xml:space="preserve">Baca notes at work; cari tindakan yang diminta.</t>
  </si>
  <si>
    <t xml:space="preserve">Lesson 25: Watch Out!</t>
  </si>
  <si>
    <t xml:space="preserve">https://learningenglish.voanews.com/a/lets-learn-english-lesson-25-watch-out/3431138.html</t>
  </si>
  <si>
    <t xml:space="preserve">Perhatikan instruksi atau peringatan. Mulai dengan transkrip bila perlu, lalu coba tanpa teks. Ambil cuplikan bila panjang; total latihan 15 menit.</t>
  </si>
  <si>
    <t xml:space="preserve">Jelaskan cara membuka situs dalam 4 langkah.</t>
  </si>
  <si>
    <t xml:space="preserve">Tulis 5 instruksi dan 2 larangan.</t>
  </si>
  <si>
    <t xml:space="preserve">Instruksi dimulai dengan verb dasar.</t>
  </si>
  <si>
    <t xml:space="preserve">Ulang kata/frasa Day 34 dan Day 28. Tambahkan target hari ini; sesi review tidak perlu kata baru.</t>
  </si>
  <si>
    <t xml:space="preserve">Menyampaikan hobi dengan pola -ing.</t>
  </si>
  <si>
    <t xml:space="preserve">like</t>
  </si>
  <si>
    <t xml:space="preserve">like=suka; enjoy=menikmati; music=musik; reading=membaca; walking=berjalan</t>
  </si>
  <si>
    <t xml:space="preserve">Verbs followed by '-ing' or infinitive</t>
  </si>
  <si>
    <t xml:space="preserve">https://learnenglish.britishcouncil.org/free-resources/grammar/a1-a2/verbs-followed-ing-or-infinitive</t>
  </si>
  <si>
    <t xml:space="preserve">Baca verbs followed by -ing; fokus enjoy/like.</t>
  </si>
  <si>
    <t xml:space="preserve">Lesson 15: I Love People-Watching!</t>
  </si>
  <si>
    <t xml:space="preserve">https://learningenglish.voanews.com/a/lets-learn-english-lesson-15-i-love-people-watching/3343720.html</t>
  </si>
  <si>
    <t xml:space="preserve">Tangkap aktivitas yang sedang diamati. Mulai dengan transkrip bila perlu, lalu coba tanpa teks. Ambil cuplikan bila panjang; total latihan 15 menit.</t>
  </si>
  <si>
    <t xml:space="preserve">Ceritakan 3 hobi dan satu alasan sederhana.</t>
  </si>
  <si>
    <t xml:space="preserve">Tulis 6 kalimat like/enjoy + noun/-ing.</t>
  </si>
  <si>
    <t xml:space="preserve">Tidak menggunakan enjoy to.</t>
  </si>
  <si>
    <t xml:space="preserve">Ulang kata/frasa Day 35 dan Day 29. Tambahkan target hari ini; sesi review tidak perlu kata baru.</t>
  </si>
  <si>
    <t xml:space="preserve">Menggunakan can, request, object, dan instruksi.</t>
  </si>
  <si>
    <t xml:space="preserve">Ulang kata Day 31–36; tanpa kata baru.</t>
  </si>
  <si>
    <t xml:space="preserve">Kerjakan 5 contoh can/could; baca ulang kesalahan.</t>
  </si>
  <si>
    <t xml:space="preserve">Dengar kemampuan dan rangkum 3 poin. Mulai dengan transkrip bila perlu, lalu coba tanpa teks. Ambil cuplikan bila panjang; total latihan 15 menit.</t>
  </si>
  <si>
    <t xml:space="preserve">Role-play minta bantuan dan menjelaskan kemampuan, 1 menit.</t>
  </si>
  <si>
    <t xml:space="preserve">Tulis 8 baris dialog kerja sederhana.</t>
  </si>
  <si>
    <t xml:space="preserve">Isi Evaluasi Day 37; rekam ulang 2 kalimat bermasalah.</t>
  </si>
  <si>
    <t xml:space="preserve">Ulang kata/frasa Day 36 dan Day 30. Tambahkan target hari ini; sesi review tidak perlu kata baru.</t>
  </si>
  <si>
    <t xml:space="preserve">Menyatakan kegiatan yang sedang berlangsung.</t>
  </si>
  <si>
    <t xml:space="preserve">continuous</t>
  </si>
  <si>
    <t xml:space="preserve">doing=sedang melakukan; working=sedang bekerja; eating=sedang makan; now=sekarang; listening=mendengarkan</t>
  </si>
  <si>
    <t xml:space="preserve">Present continuous</t>
  </si>
  <si>
    <t xml:space="preserve">https://learnenglish.britishcouncil.org/free-resources/grammar/english-grammar-reference/present-continuous</t>
  </si>
  <si>
    <t xml:space="preserve">Baca formation dan penggunaan now.</t>
  </si>
  <si>
    <t xml:space="preserve">Lesson 7: What Are You Doing?</t>
  </si>
  <si>
    <t xml:space="preserve">https://learningenglish.voanews.com/a/lets-learn-english-lesson-7-what-are-you-doing/3240468.html</t>
  </si>
  <si>
    <t xml:space="preserve">Amati siapa sedang melakukan apa. Mulai dengan transkrip bila perlu, lalu coba tanpa teks. Ambil cuplikan bila panjang; total latihan 15 menit.</t>
  </si>
  <si>
    <t xml:space="preserve">Deskripsikan 5 aktivitas yang dibayangkan.</t>
  </si>
  <si>
    <t xml:space="preserve">Tulis 6 kalimat continuous.</t>
  </si>
  <si>
    <t xml:space="preserve">Setiap kalimat memiliki be + verb-ing.</t>
  </si>
  <si>
    <t xml:space="preserve">Ulang kata/frasa Day 37 dan Day 31. Tambahkan target hari ini; sesi review tidak perlu kata baru.</t>
  </si>
  <si>
    <t xml:space="preserve">Menyangkal dan menanyakan kegiatan sekarang.</t>
  </si>
  <si>
    <t xml:space="preserve">talking=berbicara; waiting=menunggu; playing=bermain; sitting=duduk; running=berlari</t>
  </si>
  <si>
    <t xml:space="preserve">Baca questions dan negatives.</t>
  </si>
  <si>
    <t xml:space="preserve">Dengar pertanyaan kegiatan dan kesibukan. Mulai dengan transkrip bila perlu, lalu coba tanpa teks. Ambil cuplikan bila panjang; total latihan 15 menit.</t>
  </si>
  <si>
    <t xml:space="preserve">Mainkan 5 tanya-jawab what are you doing.</t>
  </si>
  <si>
    <t xml:space="preserve">Tulis 4 pertanyaan dan 4 kalimat negatif.</t>
  </si>
  <si>
    <t xml:space="preserve">Be berpindah ke depan; not setelah be.</t>
  </si>
  <si>
    <t xml:space="preserve">Ulang kata/frasa Day 38 dan Day 32. Tambahkan target hari ini; sesi review tidak perlu kata baru.</t>
  </si>
  <si>
    <t xml:space="preserve">Membedakan kebiasaan dan aktivitas sekarang.</t>
  </si>
  <si>
    <t xml:space="preserve">contrast</t>
  </si>
  <si>
    <t xml:space="preserve">usually=biasanya; today=hari ini; currently=saat ini; normally=biasanya; moment=saat</t>
  </si>
  <si>
    <t xml:space="preserve">Bandingkan contoh simple/continuous yang relevan.</t>
  </si>
  <si>
    <t xml:space="preserve">Tulis 3 aktivitas yang sedang dilakukan tokoh. Mulai dengan transkrip bila perlu, lalu coba tanpa teks. Ambil cuplikan bila panjang; total latihan 15 menit.</t>
  </si>
  <si>
    <t xml:space="preserve">Ucapkan 4 pasangan usually ... but now ...</t>
  </si>
  <si>
    <t xml:space="preserve">Tulis 5 pasangan rutinitas vs sekarang.</t>
  </si>
  <si>
    <t xml:space="preserve">Pemilihan tense mengikuti makna.</t>
  </si>
  <si>
    <t xml:space="preserve">Ulang kata/frasa Day 39 dan Day 33. Tambahkan target hari ini; sesi review tidak perlu kata baru.</t>
  </si>
  <si>
    <t xml:space="preserve">Mendeskripsikan cuaca dan kegiatan terkait.</t>
  </si>
  <si>
    <t xml:space="preserve">rain=hujan; sunny=cerah; cloudy=berawan; windy=berangin; weather=cuaca</t>
  </si>
  <si>
    <t xml:space="preserve">Baca Conversation dan New Words yang terkait cuaca.</t>
  </si>
  <si>
    <t xml:space="preserve">Dengar kata cuaca; ulang bagian sulit. Mulai dengan transkrip bila perlu, lalu coba tanpa teks. Ambil cuplikan bila panjang; total latihan 15 menit.</t>
  </si>
  <si>
    <t xml:space="preserve">Laporan cuaca di kotamu 45 detik.</t>
  </si>
  <si>
    <t xml:space="preserve">Tulis 6 kalimat cuaca dan kegiatan sekarang.</t>
  </si>
  <si>
    <t xml:space="preserve">Bedakan it is hot dan it is raining.</t>
  </si>
  <si>
    <t xml:space="preserve">Ulang kata/frasa Day 40 dan Day 34. Tambahkan target hari ini; sesi review tidak perlu kata baru.</t>
  </si>
  <si>
    <t xml:space="preserve">Menggambarkan pakaian dan warna.</t>
  </si>
  <si>
    <t xml:space="preserve">shirt=kemeja; shoes=sepatu; wear=memakai; color=warna; long=panjang</t>
  </si>
  <si>
    <t xml:space="preserve">Lesson 14: How About This?</t>
  </si>
  <si>
    <t xml:space="preserve">https://learningenglish.voanews.com/a/lets-learn-english-lesson-14-how-about-this/3323771.html</t>
  </si>
  <si>
    <t xml:space="preserve">Baca Conversation; cari kata pakaian/deskripsi.</t>
  </si>
  <si>
    <t xml:space="preserve">Catat pilihan pakaian yang dibahas. Mulai dengan transkrip bila perlu, lalu coba tanpa teks. Ambil cuplikan bila panjang; total latihan 15 menit.</t>
  </si>
  <si>
    <t xml:space="preserve">Deskripsikan 3 orang fiktif tanpa menilai tubuh.</t>
  </si>
  <si>
    <t xml:space="preserve">Tulis 6 kalimat wearing + deskripsi pakaian.</t>
  </si>
  <si>
    <t xml:space="preserve">Nama pakaian dan warna dapat dipahami.</t>
  </si>
  <si>
    <t xml:space="preserve">Ulang kata/frasa Day 41 dan Day 35. Tambahkan target hari ini; sesi review tidak perlu kata baru.</t>
  </si>
  <si>
    <t xml:space="preserve">Memberi petunjuk lokasi sederhana.</t>
  </si>
  <si>
    <t xml:space="preserve">street=jalan; left=kiri; right=kanan; straight=lurus; near=dekat</t>
  </si>
  <si>
    <t xml:space="preserve">Lesson 11: This Is My Neighborhood</t>
  </si>
  <si>
    <t xml:space="preserve">https://learningenglish.voanews.com/a/lets-learn-english-lesson-11-this-is-my-neighborhood/3293986.html</t>
  </si>
  <si>
    <t xml:space="preserve">Baca Conversation dan daftar tempat.</t>
  </si>
  <si>
    <t xml:space="preserve">Perhatikan tempat serta arah gerakan. Mulai dengan transkrip bila perlu, lalu coba tanpa teks. Ambil cuplikan bila panjang; total latihan 15 menit.</t>
  </si>
  <si>
    <t xml:space="preserve">Jelaskan rute rumah ke toko memakai lokasi fiktif.</t>
  </si>
  <si>
    <t xml:space="preserve">Tulis 4–5 langkah rute sederhana.</t>
  </si>
  <si>
    <t xml:space="preserve">Ada titik awal dan tujuan yang jelas.</t>
  </si>
  <si>
    <t xml:space="preserve">Ulang kata/frasa Day 42 dan Day 36. Tambahkan target hari ini; sesi review tidak perlu kata baru.</t>
  </si>
  <si>
    <t xml:space="preserve">Menggabungkan continuous dan preposition.</t>
  </si>
  <si>
    <t xml:space="preserve">Ulang kata Day 38–43; tanpa kata baru.</t>
  </si>
  <si>
    <t xml:space="preserve">Kerjakan 5 butir lokasi atau buat ulang contoh.</t>
  </si>
  <si>
    <t xml:space="preserve">Tonton tanpa transkrip lalu cocokkan 5 detail. Mulai dengan transkrip bila perlu, lalu coba tanpa teks. Ambil cuplikan bila panjang; total latihan 15 menit.</t>
  </si>
  <si>
    <t xml:space="preserve">Deskripsikan ruangan, orang, dan aktivitas 1 menit.</t>
  </si>
  <si>
    <t xml:space="preserve">Tulis 60 kata tentang keadaan hari ini.</t>
  </si>
  <si>
    <t xml:space="preserve">Isi Evaluasi Day 44; cek penggunaan be.</t>
  </si>
  <si>
    <t xml:space="preserve">Ulang kata/frasa Day 43 dan Day 37. Tambahkan target hari ini; sesi review tidak perlu kata baru.</t>
  </si>
  <si>
    <t xml:space="preserve">Membedakan benda satuan dan massa.</t>
  </si>
  <si>
    <t xml:space="preserve">count</t>
  </si>
  <si>
    <t xml:space="preserve">rice=nasi/beras; water=air; bread=roti; bottle=botol; glass=gelas</t>
  </si>
  <si>
    <t xml:space="preserve">Baca countable/uncountable; pilih 8 kata makanan.</t>
  </si>
  <si>
    <t xml:space="preserve">Lesson 35: Let’s Make Dinner!</t>
  </si>
  <si>
    <t xml:space="preserve">https://learningenglish.voanews.com/a/lets-learn-english-lesson-35-lets-make-dinner/3571922.html</t>
  </si>
  <si>
    <t xml:space="preserve">Dengar bahan makanan dan barang yang dibutuhkan. Mulai dengan transkrip bila perlu, lalu coba tanpa teks. Ambil cuplikan bila panjang; total latihan 15 menit.</t>
  </si>
  <si>
    <t xml:space="preserve">Sebut 5 makanan beserta satuan yang wajar.</t>
  </si>
  <si>
    <t xml:space="preserve">Tulis 8 kata ke dua kategori dan 4 frasa satuan.</t>
  </si>
  <si>
    <t xml:space="preserve">Tidak memakai a water tanpa satuan yang dimaksud.</t>
  </si>
  <si>
    <t xml:space="preserve">Ulang kata/frasa Day 44 dan Day 38. Tambahkan target hari ini; sesi review tidak perlu kata baru.</t>
  </si>
  <si>
    <t xml:space="preserve">Menyatakan ketersediaan dan menanyakannya.</t>
  </si>
  <si>
    <t xml:space="preserve">some</t>
  </si>
  <si>
    <t xml:space="preserve">some=sejumlah; any=sejumlah/apa pun sesuai konteks; milk=susu; egg=telur; sugar=gula</t>
  </si>
  <si>
    <t xml:space="preserve">Baca contoh some/any dan catat pola.</t>
  </si>
  <si>
    <t xml:space="preserve">Cari bahan yang tersedia/tidak tersedia. Mulai dengan transkrip bila perlu, lalu coba tanpa teks. Ambil cuplikan bila panjang; total latihan 15 menit.</t>
  </si>
  <si>
    <t xml:space="preserve">Mainkan tanya-jawab isi dapur 6 giliran.</t>
  </si>
  <si>
    <t xml:space="preserve">Tulis 3 positif, 3 negatif, 3 pertanyaan.</t>
  </si>
  <si>
    <t xml:space="preserve">Pola some/any tepat pada contoh dasar.</t>
  </si>
  <si>
    <t xml:space="preserve">Ulang kata/frasa Day 45 dan Day 39. Tambahkan target hari ini; sesi review tidak perlu kata baru.</t>
  </si>
  <si>
    <t xml:space="preserve">Menanyakan jumlah dan harga.</t>
  </si>
  <si>
    <t xml:space="preserve">quantity</t>
  </si>
  <si>
    <t xml:space="preserve">much=banyak uncountable; many=banyak countable; price=harga; cheap=murah; expensive=mahal</t>
  </si>
  <si>
    <t xml:space="preserve">Baca bagian much/many; gunakan contoh sendiri.</t>
  </si>
  <si>
    <t xml:space="preserve">Lesson 23: What Do You Want?</t>
  </si>
  <si>
    <t xml:space="preserve">https://learningenglish.voanews.com/a/lets-learn-english-lesson-23-what-do-you-want/3413753.html</t>
  </si>
  <si>
    <t xml:space="preserve">Dengar pesanan dan pilihan pembicara. Mulai dengan transkrip bila perlu, lalu coba tanpa teks. Ambil cuplikan bila panjang; total latihan 15 menit.</t>
  </si>
  <si>
    <t xml:space="preserve">Latih 6 pertanyaan harga/jumlah.</t>
  </si>
  <si>
    <t xml:space="preserve">Tulis 3 how much dan 3 how many.</t>
  </si>
  <si>
    <t xml:space="preserve">Noun countable jamak mengikuti how many.</t>
  </si>
  <si>
    <t xml:space="preserve">Ulang kata/frasa Day 46 dan Day 40. Tambahkan target hari ini; sesi review tidak perlu kata baru.</t>
  </si>
  <si>
    <t xml:space="preserve">Menemukan menu/harga dan memesan sopan.</t>
  </si>
  <si>
    <t xml:space="preserve">want</t>
  </si>
  <si>
    <t xml:space="preserve">menu=menu; order=pesanan/memesan; chicken=ayam; soup=sup; tea=teh</t>
  </si>
  <si>
    <t xml:space="preserve">A restaurant menu</t>
  </si>
  <si>
    <t xml:space="preserve">https://learnenglish.britishcouncil.org/free-resources/reading/a1/restaurant-menu</t>
  </si>
  <si>
    <t xml:space="preserve">Baca menu; pilih 1 makanan dan 1 minuman; hitung total dari harga yang tercantum.</t>
  </si>
  <si>
    <t xml:space="preserve">Tangkap frasa meminta makanan. Mulai dengan transkrip bila perlu, lalu coba tanpa teks. Ambil cuplikan bila panjang; total latihan 15 menit.</t>
  </si>
  <si>
    <t xml:space="preserve">Role-play pelanggan-pelayan 8 giliran.</t>
  </si>
  <si>
    <t xml:space="preserve">Tulis pesanan 4 baris memakai I'd like.</t>
  </si>
  <si>
    <t xml:space="preserve">Pilihan, jumlah, dan permintaan jelas.</t>
  </si>
  <si>
    <t xml:space="preserve">Ulang kata/frasa Day 47 dan Day 41. Tambahkan target hari ini; sesi review tidak perlu kata baru.</t>
  </si>
  <si>
    <t xml:space="preserve">Mengajak, menerima, atau menolak dengan sopan.</t>
  </si>
  <si>
    <t xml:space="preserve">party=pesta; invite=mengundang; join=bergabung; come=datang; thanks=terima kasih</t>
  </si>
  <si>
    <t xml:space="preserve">A poster at work</t>
  </si>
  <si>
    <t xml:space="preserve">https://learnenglish.britishcouncil.org/free-resources/reading/a1/poster-work</t>
  </si>
  <si>
    <t xml:space="preserve">Baca poster; cari kegiatan, waktu, lokasi.</t>
  </si>
  <si>
    <t xml:space="preserve">Lesson 21: Can You Come to the Party?</t>
  </si>
  <si>
    <t xml:space="preserve">https://learningenglish.voanews.com/a/lets-learn-english-lesson-21-can-you-come-to-the-party/3406732.html</t>
  </si>
  <si>
    <t xml:space="preserve">Dengar ajakan dan alasan respons. Mulai dengan transkrip bila perlu, lalu coba tanpa teks. Ambil cuplikan bila panjang; total latihan 15 menit.</t>
  </si>
  <si>
    <t xml:space="preserve">Role-play 3 menerima dan 3 menolak ajakan.</t>
  </si>
  <si>
    <t xml:space="preserve">Tulis undangan 40–50 kata.</t>
  </si>
  <si>
    <t xml:space="preserve">Undangan berisi kegiatan, waktu, tempat.</t>
  </si>
  <si>
    <t xml:space="preserve">Ulang kata/frasa Day 48 dan Day 42. Tambahkan target hari ini; sesi review tidak perlu kata baru.</t>
  </si>
  <si>
    <t xml:space="preserve">Menyepakati waktu lewat chat.</t>
  </si>
  <si>
    <t xml:space="preserve">meet=bertemu; available=tersedia/luang; schedule=jadwal; change=ubah; confirm=konfirmasi</t>
  </si>
  <si>
    <t xml:space="preserve">Baca percakapan; catat rencana awal dan perubahan.</t>
  </si>
  <si>
    <t xml:space="preserve">Dengar diskusi ketersediaan waktu. Mulai dengan transkrip bila perlu, lalu coba tanpa teks. Ambil cuplikan bila panjang; total latihan 15 menit.</t>
  </si>
  <si>
    <t xml:space="preserve">Mainkan negosiasi waktu 1 menit.</t>
  </si>
  <si>
    <t xml:space="preserve">Tulis chat 8 baris mengatur sesi belajar.</t>
  </si>
  <si>
    <t xml:space="preserve">Ada waktu akhir yang disepakati.</t>
  </si>
  <si>
    <t xml:space="preserve">Ulang kata/frasa Day 49 dan Day 43. Tambahkan target hari ini; sesi review tidak perlu kata baru.</t>
  </si>
  <si>
    <t xml:space="preserve">Menggunakan quantifier, pesanan, dan ajakan.</t>
  </si>
  <si>
    <t xml:space="preserve">Ulang kata Day 45–50; tanpa kata baru.</t>
  </si>
  <si>
    <t xml:space="preserve">Temukan 5 informasi menu tanpa kamus dahulu.</t>
  </si>
  <si>
    <t xml:space="preserve">Catat 3 detail undangan dari video. Mulai dengan transkrip bila perlu, lalu coba tanpa teks. Ambil cuplikan bila panjang; total latihan 15 menit.</t>
  </si>
  <si>
    <t xml:space="preserve">Role-play pesan makanan lalu mengajak teman, 1 menit.</t>
  </si>
  <si>
    <t xml:space="preserve">Tulis rencana makan bersama 60 kata.</t>
  </si>
  <si>
    <t xml:space="preserve">Isi Evaluasi Day 51; ulang quantifier yang salah.</t>
  </si>
  <si>
    <t xml:space="preserve">Ulang kata/frasa Day 50 dan Day 44. Tambahkan target hari ini; sesi review tidak perlu kata baru.</t>
  </si>
  <si>
    <t xml:space="preserve">Membedakan keinginan dan kebutuhan.</t>
  </si>
  <si>
    <t xml:space="preserve">want=ingin; need=perlu; buy=membeli; save=menabung; learn=belajar</t>
  </si>
  <si>
    <t xml:space="preserve">Baca Conversation; tandai ungkapan keinginan.</t>
  </si>
  <si>
    <t xml:space="preserve">Catat keinginan tokoh tanpa menyalin dialog penuh. Mulai dengan transkrip bila perlu, lalu coba tanpa teks. Ambil cuplikan bila panjang; total latihan 15 menit.</t>
  </si>
  <si>
    <t xml:space="preserve">Jelaskan 3 want dan 3 need pribadi.</t>
  </si>
  <si>
    <t xml:space="preserve">Tulis 6 kalimat want/need + noun atau to + verb.</t>
  </si>
  <si>
    <t xml:space="preserve">To hadir sebelum verb setelah want/need.</t>
  </si>
  <si>
    <t xml:space="preserve">Ulang kata/frasa Day 51 dan Day 45. Tambahkan target hari ini; sesi review tidak perlu kata baru.</t>
  </si>
  <si>
    <t xml:space="preserve">Menghubungkan ide dengan alasan/kontras/akibat.</t>
  </si>
  <si>
    <t xml:space="preserve">sequence</t>
  </si>
  <si>
    <t xml:space="preserve">because=karena; but=tetapi; so=jadi; reason=alasan; problem=masalah</t>
  </si>
  <si>
    <t xml:space="preserve">A message to a new friend</t>
  </si>
  <si>
    <t xml:space="preserve">https://learnenglish.britishcouncil.org/free-resources/reading/a2/message-new-friend</t>
  </si>
  <si>
    <t xml:space="preserve">Baca pesan dan lihat cara informasi dihubungkan.</t>
  </si>
  <si>
    <t xml:space="preserve">Lesson 27: I Can't Come In</t>
  </si>
  <si>
    <t xml:space="preserve">https://learningenglish.voanews.com/a/lets-learn-english-lesson-27-i-cant-come-in/3457316.html</t>
  </si>
  <si>
    <t xml:space="preserve">Dengar masalah dan alasan tidak dapat hadir. Mulai dengan transkrip bila perlu, lalu coba tanpa teks. Ambil cuplikan bila panjang; total latihan 15 menit.</t>
  </si>
  <si>
    <t xml:space="preserve">Berikan 4 alasan memakai because.</t>
  </si>
  <si>
    <t xml:space="preserve">Tulis 6 kalimat gabungan dengan because/but/so.</t>
  </si>
  <si>
    <t xml:space="preserve">Hubungan antargagasan masuk akal.</t>
  </si>
  <si>
    <t xml:space="preserve">Ulang kata/frasa Day 52 dan Day 46. Tambahkan target hari ini; sesi review tidak perlu kata baru.</t>
  </si>
  <si>
    <t xml:space="preserve">Mengambil 5 detail pekerjaan.</t>
  </si>
  <si>
    <t xml:space="preserve">reading</t>
  </si>
  <si>
    <t xml:space="preserve">job=pekerjaan; skill=keterampilan; apply=melamar; experience=pengalaman; hours=jam</t>
  </si>
  <si>
    <t xml:space="preserve">Job adverts</t>
  </si>
  <si>
    <t xml:space="preserve">https://learnenglish.britishcouncil.org/free-resources/reading/a1/job-adverts</t>
  </si>
  <si>
    <t xml:space="preserve">Baca 2 job adverts; cari peran, tugas, syarat, waktu, cara melamar.</t>
  </si>
  <si>
    <t xml:space="preserve">Dengar informasi pekerjaan dan jadwal. Mulai dengan transkrip bila perlu, lalu coba tanpa teks. Ambil cuplikan bila panjang; total latihan 15 menit.</t>
  </si>
  <si>
    <t xml:space="preserve">Jelaskan satu pekerjaan dalam 45 detik.</t>
  </si>
  <si>
    <t xml:space="preserve">Tulis 5 poin lowongan dengan kata sendiri.</t>
  </si>
  <si>
    <t xml:space="preserve">Pisahkan informasi teks dari tebakan.</t>
  </si>
  <si>
    <t xml:space="preserve">Ulang kata/frasa Day 53 dan Day 47. Tambahkan target hari ini; sesi review tidak perlu kata baru.</t>
  </si>
  <si>
    <t xml:space="preserve">Menulis pesan tugas dengan permintaan jelas.</t>
  </si>
  <si>
    <t xml:space="preserve">file=berkas; page=halaman; fix=memperbaiki; send=mengirim; issue=masalah</t>
  </si>
  <si>
    <t xml:space="preserve">Baca notes at work; cari tindakan yang diharapkan.</t>
  </si>
  <si>
    <t xml:space="preserve">Lesson 36: I Can Fix This!</t>
  </si>
  <si>
    <t xml:space="preserve">https://learningenglish.voanews.com/a/lets-learn-english-lesson-36-i-can-fix-this/3568962.html</t>
  </si>
  <si>
    <t xml:space="preserve">Dengar masalah dan usaha memperbaikinya. Mulai dengan transkrip bila perlu, lalu coba tanpa teks. Ambil cuplikan bila panjang; total latihan 15 menit.</t>
  </si>
  <si>
    <t xml:space="preserve">Minta teman mengecek file dalam 4 kalimat.</t>
  </si>
  <si>
    <t xml:space="preserve">Tulis 3 pesan, masing-masing 2–3 kalimat.</t>
  </si>
  <si>
    <t xml:space="preserve">Setiap pesan punya tujuan dan tindakan.</t>
  </si>
  <si>
    <t xml:space="preserve">Ulang kata/frasa Day 54 dan Day 48. Tambahkan target hari ini; sesi review tidak perlu kata baru.</t>
  </si>
  <si>
    <t xml:space="preserve">Memahami isi umum sebelum menerjemahkan.</t>
  </si>
  <si>
    <t xml:space="preserve">main=utama; idea=gagasan; detail=rincian; country=negara; city=kota</t>
  </si>
  <si>
    <t xml:space="preserve">Baca 1 kali untuk tema; 1 kali lagi untuk 5 detail.</t>
  </si>
  <si>
    <t xml:space="preserve">Dengar asal orang; catat hanya informasi yang terdengar. Mulai dengan transkrip bila perlu, lalu coba tanpa teks. Ambil cuplikan bila panjang; total latihan 15 menit.</t>
  </si>
  <si>
    <t xml:space="preserve">Ringkas bacaan 4 kalimat.</t>
  </si>
  <si>
    <t xml:space="preserve">Tulis tema + 5 detail; maksimal cari 5 kata di kamus.</t>
  </si>
  <si>
    <t xml:space="preserve">Tema dan minimal 4 detail akurat.</t>
  </si>
  <si>
    <t xml:space="preserve">Ulang kata/frasa Day 55 dan Day 49. Tambahkan target hari ini; sesi review tidak perlu kata baru.</t>
  </si>
  <si>
    <t xml:space="preserve">Memakai beberapa pola dalam percakapan utuh.</t>
  </si>
  <si>
    <t xml:space="preserve">shadow</t>
  </si>
  <si>
    <t xml:space="preserve">Ulang frasa sapaan, lokasi, pesanan, dan undangan.</t>
  </si>
  <si>
    <t xml:space="preserve">Baca chat sebagai contoh pergantian giliran bicara.</t>
  </si>
  <si>
    <t xml:space="preserve">Tirukan 5 potongan dialog dengan ritme wajar. Mulai dengan transkrip bila perlu, lalu coba tanpa teks. Ambil cuplikan bila panjang; total latihan 15 menit.</t>
  </si>
  <si>
    <t xml:space="preserve">Rekam dialog dua peran 90 detik.</t>
  </si>
  <si>
    <t xml:space="preserve">Tulis naskah 10–12 baris, lalu kurangi bantuan naskah.</t>
  </si>
  <si>
    <t xml:space="preserve">Ada minimal 3 fungsi: menyapa, meminta, menutup.</t>
  </si>
  <si>
    <t xml:space="preserve">Ulang kata/frasa Day 56 dan Day 50. Tambahkan target hari ini; sesi review tidak perlu kata baru.</t>
  </si>
  <si>
    <t xml:space="preserve">Memperbaiki 3 pola yang paling sering salah.</t>
  </si>
  <si>
    <t xml:space="preserve">Pilih 10 kata yang masih tertukar Day 31–57.</t>
  </si>
  <si>
    <t xml:space="preserve">Baca kembali bagian grammar yang cocok dengan catatan kesalahan.</t>
  </si>
  <si>
    <t xml:space="preserve">Dengar ulang contoh yang sama untuk mengecek akhiran kata. Mulai dengan transkrip bila perlu, lalu coba tanpa teks. Ambil cuplikan bila panjang; total latihan 15 menit.</t>
  </si>
  <si>
    <t xml:space="preserve">Rekam ulang 6 kalimat yang sebelumnya salah.</t>
  </si>
  <si>
    <t xml:space="preserve">Tulis salah → benar → alasan untuk 5 kalimat.</t>
  </si>
  <si>
    <t xml:space="preserve">Isi Evaluasi Day 58; catat perubahan.</t>
  </si>
  <si>
    <t xml:space="preserve">Ulang kata/frasa Day 57 dan Day 51. Tambahkan target hari ini; sesi review tidak perlu kata baru.</t>
  </si>
  <si>
    <t xml:space="preserve">Menggabungkan baca, dengar, bicara, tulis.</t>
  </si>
  <si>
    <t xml:space="preserve">Ulang kosakata kerja dan kemampuan.</t>
  </si>
  <si>
    <t xml:space="preserve">Baca satu lowongan yang belum dipakai; jawab 5 detail.</t>
  </si>
  <si>
    <t xml:space="preserve">Dengar kemampuan tokoh tanpa teks; cocokkan transkrip. Mulai dengan transkrip bila perlu, lalu coba tanpa teks. Ambil cuplikan bila panjang; total latihan 15 menit.</t>
  </si>
  <si>
    <t xml:space="preserve">Perkenalkan diri untuk pekerjaan fiktif 90 detik.</t>
  </si>
  <si>
    <t xml:space="preserve">Tulis 70 kata profil dan kemampuan nyata.</t>
  </si>
  <si>
    <t xml:space="preserve">Jawaban tidak hanya menyalin teks.</t>
  </si>
  <si>
    <t xml:space="preserve">Ulang kata/frasa Day 58 dan Day 52. Tambahkan target hari ini; sesi review tidak perlu kata baru.</t>
  </si>
  <si>
    <t xml:space="preserve">Menilai percakapan dasar dan pemahaman pesan.</t>
  </si>
  <si>
    <t xml:space="preserve">Review 20 kata paling sulit bulan 2.</t>
  </si>
  <si>
    <t xml:space="preserve">Baca pesan; jawab 5 pertanyaan buatan sendiri lalu cek.</t>
  </si>
  <si>
    <t xml:space="preserve">Catat siapa, acara, waktu, masalah, respons dari video jika ada. Mulai dengan transkrip bila perlu, lalu coba tanpa teks. Ambil cuplikan bila panjang; total latihan 15 menit.</t>
  </si>
  <si>
    <t xml:space="preserve">Role-play ajakan dan permintaan bantuan 90 detik.</t>
  </si>
  <si>
    <t xml:space="preserve">Tulis pesan rencana pertemuan 70 kata.</t>
  </si>
  <si>
    <t xml:space="preserve">Isi Evaluasi Day 60; jangan klaim sudah A2 dari nilai ini.</t>
  </si>
  <si>
    <t xml:space="preserve">Ulang kata/frasa Day 59 dan Day 53. Tambahkan target hari ini; sesi review tidak perlu kata baru.</t>
  </si>
  <si>
    <t xml:space="preserve">Menyatakan keadaan/lokasi masa lalu.</t>
  </si>
  <si>
    <t xml:space="preserve">pastbe</t>
  </si>
  <si>
    <t xml:space="preserve">yesterday=kemarin; last=lalu; was=be lampau tunggal; were=be lampau jamak/you; ago=yang lalu</t>
  </si>
  <si>
    <t xml:space="preserve">Past simple</t>
  </si>
  <si>
    <t xml:space="preserve">https://learnenglish.britishcouncil.org/free-resources/grammar/english-grammar-reference/past-simple</t>
  </si>
  <si>
    <t xml:space="preserve">Baca past be; bandingkan am/is/are dengan was/were.</t>
  </si>
  <si>
    <t xml:space="preserve">Lesson 24: Yesterday Was Amazing!</t>
  </si>
  <si>
    <t xml:space="preserve">https://learningenglish.voanews.com/a/lets-learn-english-lesson-24-yesterday-was-amazing/3439164.html</t>
  </si>
  <si>
    <t xml:space="preserve">Dengar pengalaman kemarin. Mulai dengan transkrip bila perlu, lalu coba tanpa teks. Ambil cuplikan bila panjang; total latihan 15 menit.</t>
  </si>
  <si>
    <t xml:space="preserve">Ceritakan 5 keadaan kemarin.</t>
  </si>
  <si>
    <t xml:space="preserve">Tulis 6 kalimat was/were.</t>
  </si>
  <si>
    <t xml:space="preserve">Subjek cocok dengan was/were.</t>
  </si>
  <si>
    <t xml:space="preserve">Ulang kata/frasa Day 60 dan Day 54. Tambahkan target hari ini; sesi review tidak perlu kata baru.</t>
  </si>
  <si>
    <t xml:space="preserve">Bertanya dan menyangkal keadaan lampau.</t>
  </si>
  <si>
    <t xml:space="preserve">together=bersama; away=pergi/tidak di tempat; sick=sakit; well=sehat/baik; before=sebelum</t>
  </si>
  <si>
    <t xml:space="preserve">Baca questions/negatives khusus be.</t>
  </si>
  <si>
    <t xml:space="preserve">Jeda pada pertanyaan keadaan lampau. Mulai dengan transkrip bila perlu, lalu coba tanpa teks. Ambil cuplikan bila panjang; total latihan 15 menit.</t>
  </si>
  <si>
    <t xml:space="preserve">Latih 5 tanya-jawab were you/was she.</t>
  </si>
  <si>
    <t xml:space="preserve">Tulis 4 negatif dan 4 pertanyaan.</t>
  </si>
  <si>
    <t xml:space="preserve">Tidak menggunakan did dengan was/were.</t>
  </si>
  <si>
    <t xml:space="preserve">Ulang kata/frasa Day 61 dan Day 55. Tambahkan target hari ini; sesi review tidak perlu kata baru.</t>
  </si>
  <si>
    <t xml:space="preserve">Menceritakan 5 kegiatan selesai.</t>
  </si>
  <si>
    <t xml:space="preserve">past</t>
  </si>
  <si>
    <t xml:space="preserve">worked=bekerja lampau; studied=belajar lampau; cleaned=membersihkan lampau; watched=menonton lampau; visited=mengunjungi lampau</t>
  </si>
  <si>
    <t xml:space="preserve">Baca regular verbs dan aturan ejaan awal.</t>
  </si>
  <si>
    <t xml:space="preserve">Lesson 28: I Passed It!</t>
  </si>
  <si>
    <t xml:space="preserve">https://learningenglish.voanews.com/a/lets-learn-english-lesson-28-i-passed-it/3487865.html</t>
  </si>
  <si>
    <t xml:space="preserve">Dengar kata kerja lampau pada cerita. Mulai dengan transkrip bila perlu, lalu coba tanpa teks. Ambil cuplikan bila panjang; total latihan 15 menit.</t>
  </si>
  <si>
    <t xml:space="preserve">Ceritakan kegiatan kemarin 45 detik.</t>
  </si>
  <si>
    <t xml:space="preserve">Tulis 6 kalimat lampau beraturan.</t>
  </si>
  <si>
    <t xml:space="preserve">Kegiatan memiliki konteks masa lalu.</t>
  </si>
  <si>
    <t xml:space="preserve">Ulang kata/frasa Day 62 dan Day 56. Tambahkan target hari ini; sesi review tidak perlu kata baru.</t>
  </si>
  <si>
    <t xml:space="preserve">Mendengar bahwa -ed tidak selalu dibaca satu suku kata tambahan.</t>
  </si>
  <si>
    <t xml:space="preserve">wanted=ingin lampau; needed=perlu lampau; helped=membantu lampau; played=bermain lampau; ended=berakhir lampau</t>
  </si>
  <si>
    <t xml:space="preserve">Baca contoh regular verbs; cocokkan bentuk tertulis dengan audio video.</t>
  </si>
  <si>
    <t xml:space="preserve">Pilih 5 kata -ed yang benar-benar terdengar; tirukan dari audio. Mulai dengan transkrip bila perlu, lalu coba tanpa teks. Ambil cuplikan bila panjang; total latihan 15 menit.</t>
  </si>
  <si>
    <t xml:space="preserve">Rekam 5 kata dalam kalimat; fokus kejelasan, bukan aksen.</t>
  </si>
  <si>
    <t xml:space="preserve">Kelompokkan kata yang kamu dengar: /t/, /d/, /id/; cek kamus audio bila ragu.</t>
  </si>
  <si>
    <t xml:space="preserve">Bisa meniru 3 kata -ed dari sumber.</t>
  </si>
  <si>
    <t xml:space="preserve">Ulang kata/frasa Day 63 dan Day 57. Tambahkan target hari ini; sesi review tidak perlu kata baru.</t>
  </si>
  <si>
    <t xml:space="preserve">Menggunakan 5 kata kerja tak beraturan.</t>
  </si>
  <si>
    <t xml:space="preserve">irregular</t>
  </si>
  <si>
    <t xml:space="preserve">went=pergi lampau; ate=makan lampau; saw=melihat lampau; made=membuat lampau; had=punya/mengalami lampau</t>
  </si>
  <si>
    <t xml:space="preserve">Baca daftar irregular verbs; pilih hanya 5 target.</t>
  </si>
  <si>
    <t xml:space="preserve">Lesson 29: A Long Time Ago</t>
  </si>
  <si>
    <t xml:space="preserve">https://learningenglish.voanews.com/a/lets-learn-english-lesson-29-a-long-time-ago/3509519.html</t>
  </si>
  <si>
    <t xml:space="preserve">Catat bentuk lampau dalam cerita. Mulai dengan transkrip bila perlu, lalu coba tanpa teks. Ambil cuplikan bila panjang; total latihan 15 menit.</t>
  </si>
  <si>
    <t xml:space="preserve">Ceritakan akhir pekan memakai 5 verb target.</t>
  </si>
  <si>
    <t xml:space="preserve">Tulis 5 pasang bentuk dasar-lampau dalam kalimat.</t>
  </si>
  <si>
    <t xml:space="preserve">Minimal 4 bentuk lampau tepat.</t>
  </si>
  <si>
    <t xml:space="preserve">Ulang kata/frasa Day 64 dan Day 58. Tambahkan target hari ini; sesi review tidak perlu kata baru.</t>
  </si>
  <si>
    <t xml:space="preserve">Bertanya kegiatan lampau dengan verb dasar.</t>
  </si>
  <si>
    <t xml:space="preserve">did</t>
  </si>
  <si>
    <t xml:space="preserve">did=kata bantu lampau; finish=selesai; pass=lulus; fail=gagal; try=mencoba</t>
  </si>
  <si>
    <t xml:space="preserve">Baca questions/negatives past simple.</t>
  </si>
  <si>
    <t xml:space="preserve">Cari pertanyaan/hasil kegiatan yang selesai. Mulai dengan transkrip bila perlu, lalu coba tanpa teks. Ambil cuplikan bila panjang; total latihan 15 menit.</t>
  </si>
  <si>
    <t xml:space="preserve">Mainkan 6 tanya-jawab tentang kemarin.</t>
  </si>
  <si>
    <t xml:space="preserve">Tulis 3 pertanyaan dan 3 negatif.</t>
  </si>
  <si>
    <t xml:space="preserve">Tidak menulis did went/didn't worked.</t>
  </si>
  <si>
    <t xml:space="preserve">Ulang kata/frasa Day 65 dan Day 59. Tambahkan target hari ini; sesi review tidak perlu kata baru.</t>
  </si>
  <si>
    <t xml:space="preserve">Menggabungkan was/were, -ed, irregular, did.</t>
  </si>
  <si>
    <t xml:space="preserve">Ulang kata Day 61–66; tanpa kata baru.</t>
  </si>
  <si>
    <t xml:space="preserve">Ulang latihan past simple atau koreksi 6 contoh buatan sendiri.</t>
  </si>
  <si>
    <t xml:space="preserve">Tonton ulang; catat urutan 4 kejadian. Mulai dengan transkrip bila perlu, lalu coba tanpa teks. Ambil cuplikan bila panjang; total latihan 15 menit.</t>
  </si>
  <si>
    <t xml:space="preserve">Rekam cerita kemarin 90 detik.</t>
  </si>
  <si>
    <t xml:space="preserve">Tulis 80 kata cerita kemarin.</t>
  </si>
  <si>
    <t xml:space="preserve">Isi Evaluasi Day 67; cek verb setelah did.</t>
  </si>
  <si>
    <t xml:space="preserve">Ulang kata/frasa Day 66 dan Day 60. Tambahkan target hari ini; sesi review tidak perlu kata baru.</t>
  </si>
  <si>
    <t xml:space="preserve">Menempatkan cerita pada waktu yang jelas.</t>
  </si>
  <si>
    <t xml:space="preserve">last week=minggu lalu; ago=yang lalu; then=lalu; once=sekali/pernah; childhood=masa kecil</t>
  </si>
  <si>
    <t xml:space="preserve">Baca Conversation; tandai ungkapan masa lalu.</t>
  </si>
  <si>
    <t xml:space="preserve">Dengar waktu dan urutan kejadian. Mulai dengan transkrip bila perlu, lalu coba tanpa teks. Ambil cuplikan bila panjang; total latihan 15 menit.</t>
  </si>
  <si>
    <t xml:space="preserve">Ceritakan 3 peristiwa dengan waktu berbeda.</t>
  </si>
  <si>
    <t xml:space="preserve">Tulis 6 kalimat dengan penanda waktu lampau.</t>
  </si>
  <si>
    <t xml:space="preserve">Tidak mencampur now dengan kejadian selesai tanpa alasan.</t>
  </si>
  <si>
    <t xml:space="preserve">Ulang kata/frasa Day 67 dan Day 61. Tambahkan target hari ini; sesi review tidak perlu kata baru.</t>
  </si>
  <si>
    <t xml:space="preserve">Menyusun cerita yang mudah diikuti.</t>
  </si>
  <si>
    <t xml:space="preserve">first=pertama; then=kemudian; next=selanjutnya; finally=akhirnya; after=setelah</t>
  </si>
  <si>
    <t xml:space="preserve">An email from a friend</t>
  </si>
  <si>
    <t xml:space="preserve">https://learnenglish.britishcouncil.org/free-resources/reading/a2/email-friend</t>
  </si>
  <si>
    <t xml:space="preserve">Baca email; tandai urutan aktivitas yang disebut.</t>
  </si>
  <si>
    <t xml:space="preserve">Lesson 30: Rolling on the River</t>
  </si>
  <si>
    <t xml:space="preserve">https://learningenglish.voanews.com/a/lets-learn-english-lesson-30-rolling-river/3522798.html</t>
  </si>
  <si>
    <t xml:space="preserve">Tangkap urutan perjalanan/kejadian. Mulai dengan transkrip bila perlu, lalu coba tanpa teks. Ambil cuplikan bila panjang; total latihan 15 menit.</t>
  </si>
  <si>
    <t xml:space="preserve">Ceritakan 5 langkah kegiatan akhir pekan.</t>
  </si>
  <si>
    <t xml:space="preserve">Tulis cerita 80 kata memakai 3 connector.</t>
  </si>
  <si>
    <t xml:space="preserve">Cerita memiliki awal, tengah, akhir.</t>
  </si>
  <si>
    <t xml:space="preserve">Ulang kata/frasa Day 68 dan Day 62. Tambahkan target hari ini; sesi review tidak perlu kata baru.</t>
  </si>
  <si>
    <t xml:space="preserve">Menulis email santai tentang pengalaman.</t>
  </si>
  <si>
    <t xml:space="preserve">weekend=akhir pekan; trip=perjalanan; enjoyed=menikmati lampau; interesting=menarik; fun=menyenangkan</t>
  </si>
  <si>
    <t xml:space="preserve">Baca email untuk struktur; ubah isi ke pengalamanmu, bukan salin.</t>
  </si>
  <si>
    <t xml:space="preserve">Dengar cara menyampaikan hasil pengalaman. Mulai dengan transkrip bila perlu, lalu coba tanpa teks. Ambil cuplikan bila panjang; total latihan 15 menit.</t>
  </si>
  <si>
    <t xml:space="preserve">Ringkas akhir pekan dalam 1 menit.</t>
  </si>
  <si>
    <t xml:space="preserve">Tulis email 80–90 kata dengan sapaan dan penutup.</t>
  </si>
  <si>
    <t xml:space="preserve">Past tense konsisten untuk pengalaman selesai.</t>
  </si>
  <si>
    <t xml:space="preserve">Ulang kata/frasa Day 69 dan Day 63. Tambahkan target hari ini; sesi review tidak perlu kata baru.</t>
  </si>
  <si>
    <t xml:space="preserve">Menyatakan rencana yang sudah dipikirkan.</t>
  </si>
  <si>
    <t xml:space="preserve">going</t>
  </si>
  <si>
    <t xml:space="preserve">plan=rencana; next=berikutnya; summer=musim panas; travel=bepergian; practice=berlatih</t>
  </si>
  <si>
    <t xml:space="preserve">Talking about the future</t>
  </si>
  <si>
    <t xml:space="preserve">https://learnenglish.britishcouncil.org/free-resources/grammar/english-grammar-reference/talking-about-future</t>
  </si>
  <si>
    <t xml:space="preserve">Baca bagian going to saja.</t>
  </si>
  <si>
    <t xml:space="preserve">Lesson 22: Next Summer...</t>
  </si>
  <si>
    <t xml:space="preserve">https://learningenglish.voanews.com/a/lets-learn-english-lesson-22/3397314.html</t>
  </si>
  <si>
    <t xml:space="preserve">Catat rencana yang disampaikan. Mulai dengan transkrip bila perlu, lalu coba tanpa teks. Ambil cuplikan bila panjang; total latihan 15 menit.</t>
  </si>
  <si>
    <t xml:space="preserve">Sebut 5 rencana minggu depan.</t>
  </si>
  <si>
    <t xml:space="preserve">Tulis 6 kalimat be going to.</t>
  </si>
  <si>
    <t xml:space="preserve">Be tidak hilang sebelum going to.</t>
  </si>
  <si>
    <t xml:space="preserve">Ulang kata/frasa Day 70 dan Day 64. Tambahkan target hari ini; sesi review tidak perlu kata baru.</t>
  </si>
  <si>
    <t xml:space="preserve">Bertanya rencana dan menyatakan yang tidak direncanakan.</t>
  </si>
  <si>
    <t xml:space="preserve">tonight=malam ini; soon=segera; later=nanti; prepare=menyiapkan; decide=memutuskan</t>
  </si>
  <si>
    <t xml:space="preserve">Baca ulang pola going to; buat bentuk tanya/negatif sendiri.</t>
  </si>
  <si>
    <t xml:space="preserve">Jeda sebelum jawaban rencana. Mulai dengan transkrip bila perlu, lalu coba tanpa teks. Ambil cuplikan bila panjang; total latihan 15 menit.</t>
  </si>
  <si>
    <t xml:space="preserve">Latih 5 tanya-jawab what are you going to do.</t>
  </si>
  <si>
    <t xml:space="preserve">Susunan be + subject + going to tepat.</t>
  </si>
  <si>
    <t xml:space="preserve">Ulang kata/frasa Day 71 dan Day 65. Tambahkan target hari ini; sesi review tidak perlu kata baru.</t>
  </si>
  <si>
    <t xml:space="preserve">Membedakan rencana dari keputusan spontan sederhana.</t>
  </si>
  <si>
    <t xml:space="preserve">will</t>
  </si>
  <si>
    <t xml:space="preserve">will=akan; promise=janji; send=mengirim; call=menelepon; probably=mungkin besar</t>
  </si>
  <si>
    <t xml:space="preserve">Baca will untuk keputusan/prediksi; fokus 2 penggunaan.</t>
  </si>
  <si>
    <t xml:space="preserve">Lesson 34: What Will I Do?</t>
  </si>
  <si>
    <t xml:space="preserve">https://learningenglish.voanews.com/a/lets-learn-english-lesson-34-what-will-i-do/3566043.html</t>
  </si>
  <si>
    <t xml:space="preserve">Dengar keputusan mengenai kegiatan selanjutnya. Mulai dengan transkrip bila perlu, lalu coba tanpa teks. Ambil cuplikan bila panjang; total latihan 15 menit.</t>
  </si>
  <si>
    <t xml:space="preserve">Beri 5 respons spontan memakai I'll.</t>
  </si>
  <si>
    <t xml:space="preserve">Tulis 6 kalimat will/won't.</t>
  </si>
  <si>
    <t xml:space="preserve">Setelah will memakai verb dasar.</t>
  </si>
  <si>
    <t xml:space="preserve">Ulang kata/frasa Day 72 dan Day 66. Tambahkan target hari ini; sesi review tidak perlu kata baru.</t>
  </si>
  <si>
    <t xml:space="preserve">Membedakan cerita lampau dan rencana.</t>
  </si>
  <si>
    <t xml:space="preserve">Ulang kata Day 68–73; tanpa kata baru.</t>
  </si>
  <si>
    <t xml:space="preserve">Baca email; tandai ungkapan waktu, lalu tulis versi kemarin/besok.</t>
  </si>
  <si>
    <t xml:space="preserve">Catat 3 keputusan atau prediksi. Mulai dengan transkrip bila perlu, lalu coba tanpa teks. Ambil cuplikan bila panjang; total latihan 15 menit.</t>
  </si>
  <si>
    <t xml:space="preserve">Ceritakan kemarin 45 detik + besok 45 detik.</t>
  </si>
  <si>
    <t xml:space="preserve">Tulis 90 kata terbagi pengalaman dan rencana.</t>
  </si>
  <si>
    <t xml:space="preserve">Isi Evaluasi Day 74; cek waktu pada tiap paragraf.</t>
  </si>
  <si>
    <t xml:space="preserve">Ulang kata/frasa Day 73 dan Day 67. Tambahkan target hari ini; sesi review tidak perlu kata baru.</t>
  </si>
  <si>
    <t xml:space="preserve">Menyampaikan jadwal dan mengonfirmasi waktu.</t>
  </si>
  <si>
    <t xml:space="preserve">appointment=janji temu; meeting=rapat; deadline=tenggat; calendar=kalender; reschedule=jadwalkan ulang</t>
  </si>
  <si>
    <t xml:space="preserve">Baca timetable; buat versi minggu depan sendiri.</t>
  </si>
  <si>
    <t xml:space="preserve">Dengar waktu luang dan ajakan. Mulai dengan transkrip bila perlu, lalu coba tanpa teks. Ambil cuplikan bila panjang; total latihan 15 menit.</t>
  </si>
  <si>
    <t xml:space="preserve">Role-play menyepakati waktu 1 menit.</t>
  </si>
  <si>
    <t xml:space="preserve">Tulis 5 agenda dan 3 kalimat going to.</t>
  </si>
  <si>
    <t xml:space="preserve">Hari, jam, dan kegiatan jelas.</t>
  </si>
  <si>
    <t xml:space="preserve">Ulang kata/frasa Day 74 dan Day 68. Tambahkan target hari ini; sesi review tidak perlu kata baru.</t>
  </si>
  <si>
    <t xml:space="preserve">Membandingkan dua benda sederhana.</t>
  </si>
  <si>
    <t xml:space="preserve">compare</t>
  </si>
  <si>
    <t xml:space="preserve">faster=lebih cepat; smaller=lebih kecil; cheaper=lebih murah; older=lebih tua; than=daripada</t>
  </si>
  <si>
    <t xml:space="preserve">Comparative adjectives</t>
  </si>
  <si>
    <t xml:space="preserve">https://learnenglish.britishcouncil.org/free-resources/grammar/a1-a2/comparative-adjectives</t>
  </si>
  <si>
    <t xml:space="preserve">Baca adjective pendek + er dan irregular better.</t>
  </si>
  <si>
    <t xml:space="preserve">Lesson 38: She's My Best Friend!</t>
  </si>
  <si>
    <t xml:space="preserve">https://learningenglish.voanews.com/a/lets-learn-english-lesson-38-shes-my-best-friend/3591967.html</t>
  </si>
  <si>
    <t xml:space="preserve">Cari deskripsi/perbandingan orang; pakai untuk konteks sendiri. Mulai dengan transkrip bila perlu, lalu coba tanpa teks. Ambil cuplikan bila panjang; total latihan 15 menit.</t>
  </si>
  <si>
    <t xml:space="preserve">Bandingkan dua laptop fiktif memakai 5 kalimat.</t>
  </si>
  <si>
    <t xml:space="preserve">Tulis 6 perbandingan dengan than.</t>
  </si>
  <si>
    <t xml:space="preserve">Tidak memakai more faster.</t>
  </si>
  <si>
    <t xml:space="preserve">Ulang kata/frasa Day 75 dan Day 69. Tambahkan target hari ini; sesi review tidak perlu kata baru.</t>
  </si>
  <si>
    <t xml:space="preserve">Memilih more + adjective atau bentuk khusus.</t>
  </si>
  <si>
    <t xml:space="preserve">useful=berguna; difficult=sulit; easier=lebih mudah; better=lebih baik; worse=lebih buruk</t>
  </si>
  <si>
    <t xml:space="preserve">Baca long adjectives dan bentuk irregular.</t>
  </si>
  <si>
    <t xml:space="preserve">Lesson 37: Let's Agree to Disagree</t>
  </si>
  <si>
    <t xml:space="preserve">https://learningenglish.voanews.com/a/lets-learn-english-lesson-37-lets-agree-to-disagree/3574029.html</t>
  </si>
  <si>
    <t xml:space="preserve">Dengar perbedaan pendapat; ubah menjadi perbandingan sendiri. Mulai dengan transkrip bila perlu, lalu coba tanpa teks. Ambil cuplikan bila panjang; total latihan 15 menit.</t>
  </si>
  <si>
    <t xml:space="preserve">Jelaskan pilihan antara dua desain 1 menit.</t>
  </si>
  <si>
    <t xml:space="preserve">Tulis 6 perbandingan dan satu alasan tiap pasangan.</t>
  </si>
  <si>
    <t xml:space="preserve">More tidak digabung dengan bentuk -er.</t>
  </si>
  <si>
    <t xml:space="preserve">Ulang kata/frasa Day 76 dan Day 70. Tambahkan target hari ini; sesi review tidak perlu kata baru.</t>
  </si>
  <si>
    <t xml:space="preserve">Menyebut pilihan paling dalam 3 opsi.</t>
  </si>
  <si>
    <t xml:space="preserve">super</t>
  </si>
  <si>
    <t xml:space="preserve">best=terbaik; worst=terburuk; biggest=terbesar; smallest=terkecil; most=paling</t>
  </si>
  <si>
    <t xml:space="preserve">Baca Conversation; cari ungkapan best.</t>
  </si>
  <si>
    <t xml:space="preserve">Dengar alasan seseorang disebut best friend. Mulai dengan transkrip bila perlu, lalu coba tanpa teks. Ambil cuplikan bila panjang; total latihan 15 menit.</t>
  </si>
  <si>
    <t xml:space="preserve">Bandingkan 3 opsi fiktif dalam 6 kalimat.</t>
  </si>
  <si>
    <t xml:space="preserve">Tulis 5 superlative dengan kelompok pembanding.</t>
  </si>
  <si>
    <t xml:space="preserve">Bedakan better than dan the best.</t>
  </si>
  <si>
    <t xml:space="preserve">Ulang kata/frasa Day 77 dan Day 71. Tambahkan target hari ini; sesi review tidak perlu kata baru.</t>
  </si>
  <si>
    <t xml:space="preserve">Mengambil data teks untuk memilih opsi.</t>
  </si>
  <si>
    <t xml:space="preserve">venue=tempat acara; capacity=kapasitas; location=lokasi; cost=biaya; suitable=cocok</t>
  </si>
  <si>
    <t xml:space="preserve">Choosing a conference venue</t>
  </si>
  <si>
    <t xml:space="preserve">https://learnenglish.britishcouncil.org/free-resources/reading/a2/choosing-conference-venue</t>
  </si>
  <si>
    <t xml:space="preserve">Baca 2 venue adverts; catat harga/fasilitas/kapasitas yang benar-benar tersedia.</t>
  </si>
  <si>
    <t xml:space="preserve">Dengar cara setuju/tidak setuju. Mulai dengan transkrip bila perlu, lalu coba tanpa teks. Ambil cuplikan bila panjang; total latihan 15 menit.</t>
  </si>
  <si>
    <t xml:space="preserve">Jelaskan pilihan tempat dalam 1 menit.</t>
  </si>
  <si>
    <t xml:space="preserve">Tulis alasan 80 kata memakai 3 perbandingan.</t>
  </si>
  <si>
    <t xml:space="preserve">Pilihan didukung minimal 2 fakta sumber.</t>
  </si>
  <si>
    <t xml:space="preserve">Ulang kata/frasa Day 78 dan Day 72. Tambahkan target hari ini; sesi review tidak perlu kata baru.</t>
  </si>
  <si>
    <t xml:space="preserve">Menyampaikan pendapat dengan alasan sopan.</t>
  </si>
  <si>
    <t xml:space="preserve">opinion</t>
  </si>
  <si>
    <t xml:space="preserve">think=berpikir/menurut; agree=setuju; disagree=tidak setuju; prefer=lebih suka; opinion=pendapat</t>
  </si>
  <si>
    <t xml:space="preserve">Baca Conversation; pilih 3 ungkapan setuju/tidak.</t>
  </si>
  <si>
    <t xml:space="preserve">Perhatikan nada ketika berbeda pendapat. Mulai dengan transkrip bila perlu, lalu coba tanpa teks. Ambil cuplikan bila panjang; total latihan 15 menit.</t>
  </si>
  <si>
    <t xml:space="preserve">Sampaikan pendapat tentang 3 kebiasaan belajar.</t>
  </si>
  <si>
    <t xml:space="preserve">Tulis 6 kalimat pendapat beserta because.</t>
  </si>
  <si>
    <t xml:space="preserve">Alasan sesuai pendapat, tanpa harus benar secara universal.</t>
  </si>
  <si>
    <t xml:space="preserve">Ulang kata/frasa Day 79 dan Day 73. Tambahkan target hari ini; sesi review tidak perlu kata baru.</t>
  </si>
  <si>
    <t xml:space="preserve">Menggabungkan rencana, perbandingan, dan alasan.</t>
  </si>
  <si>
    <t xml:space="preserve">Ulang kata Day 75–80; tanpa kata baru.</t>
  </si>
  <si>
    <t xml:space="preserve">Ulangi latihan comparative; catat bentuk yang salah.</t>
  </si>
  <si>
    <t xml:space="preserve">Dengar ulang dan rangkum deskripsi tokoh. Mulai dengan transkrip bila perlu, lalu coba tanpa teks. Ambil cuplikan bila panjang; total latihan 15 menit.</t>
  </si>
  <si>
    <t xml:space="preserve">Rekomendasikan 1 dari 3 opsi fiktif selama 90 detik.</t>
  </si>
  <si>
    <t xml:space="preserve">Tulis 90 kata pilihan dan rencana penggunaannya.</t>
  </si>
  <si>
    <t xml:space="preserve">Isi Evaluasi Day 81; cek than dan the.</t>
  </si>
  <si>
    <t xml:space="preserve">Ulang kata/frasa Day 80 dan Day 74. Tambahkan target hari ini; sesi review tidak perlu kata baru.</t>
  </si>
  <si>
    <t xml:space="preserve">Menjelaskan cara melakukan kegiatan.</t>
  </si>
  <si>
    <t xml:space="preserve">adverb</t>
  </si>
  <si>
    <t xml:space="preserve">slowly=perlahan; carefully=dengan hati-hati; quickly=dengan cepat; well=dengan baik; clearly=dengan jelas</t>
  </si>
  <si>
    <t xml:space="preserve">Lesson 40: The Woods Are Alive</t>
  </si>
  <si>
    <t xml:space="preserve">https://learningenglish.voanews.com/a/lets-learn-english-lesson-40-the-woods-are-alive/3630341.html</t>
  </si>
  <si>
    <t xml:space="preserve">Baca Conversation; cari keterangan cara jika muncul, lalu pakai contoh Kamus Materi.</t>
  </si>
  <si>
    <t xml:space="preserve">Tirukan 5 kalimat dengan tekanan kata yang jelas. Mulai dengan transkrip bila perlu, lalu coba tanpa teks. Ambil cuplikan bila panjang; total latihan 15 menit.</t>
  </si>
  <si>
    <t xml:space="preserve">Beri 5 instruksi plus keterangan cara.</t>
  </si>
  <si>
    <t xml:space="preserve">Tulis 6 kalimat dengan adverb.</t>
  </si>
  <si>
    <t xml:space="preserve">Bedakan good sebagai sifat dan well sebagai cara.</t>
  </si>
  <si>
    <t xml:space="preserve">Ulang kata/frasa Day 81 dan Day 75. Tambahkan target hari ini; sesi review tidak perlu kata baru.</t>
  </si>
  <si>
    <t xml:space="preserve">Memberi saran sederhana tanpa menyatakan kewajiban.</t>
  </si>
  <si>
    <t xml:space="preserve">should</t>
  </si>
  <si>
    <t xml:space="preserve">should=sebaiknya; rest=istirahat; healthy=sehat; break=jeda; exercise=olahraga</t>
  </si>
  <si>
    <t xml:space="preserve">Lesson 44: Making Healthy Choices</t>
  </si>
  <si>
    <t xml:space="preserve">https://learningenglish.voanews.com/a/lets-learn-english-lesson-44-making-healthy-choices/3688552.html</t>
  </si>
  <si>
    <t xml:space="preserve">Baca Conversation; tandai saran/pilihan sehat.</t>
  </si>
  <si>
    <t xml:space="preserve">Dengar ungkapan memberi saran. Mulai dengan transkrip bila perlu, lalu coba tanpa teks. Ambil cuplikan bila panjang; total latihan 15 menit.</t>
  </si>
  <si>
    <t xml:space="preserve">Beri 5 saran belajar untuk teman fiktif.</t>
  </si>
  <si>
    <t xml:space="preserve">Tulis 5 should dan 3 shouldn't.</t>
  </si>
  <si>
    <t xml:space="preserve">Should diikuti verb dasar.</t>
  </si>
  <si>
    <t xml:space="preserve">Ulang kata/frasa Day 82 dan Day 76. Tambahkan target hari ini; sesi review tidak perlu kata baru.</t>
  </si>
  <si>
    <t xml:space="preserve">Membedakan wajib, dilarang, dan tidak wajib.</t>
  </si>
  <si>
    <t xml:space="preserve">must</t>
  </si>
  <si>
    <t xml:space="preserve">must=harus; rule=aturan; allowed=diizinkan; password=kata sandi; permission=izin</t>
  </si>
  <si>
    <t xml:space="preserve">Lesson 46: May I Borrow That?</t>
  </si>
  <si>
    <t xml:space="preserve">https://learningenglish.voanews.com/a/lets-learn-english-lesson-46-may-i-borrow-that/3723588.html</t>
  </si>
  <si>
    <t xml:space="preserve">Baca Conversation sebagai konteks izin; pelajari perbedaan makna di Kamus Materi.</t>
  </si>
  <si>
    <t xml:space="preserve">Dengar cara meminta izin meminjam. Mulai dengan transkrip bila perlu, lalu coba tanpa teks. Ambil cuplikan bila panjang; total latihan 15 menit.</t>
  </si>
  <si>
    <t xml:space="preserve">Sampaikan 3 aturan akun kerja fiktif.</t>
  </si>
  <si>
    <t xml:space="preserve">Tulis 2 must, 2 mustn't, 2 don't have to.</t>
  </si>
  <si>
    <t xml:space="preserve">Paham don't have to bukan larangan.</t>
  </si>
  <si>
    <t xml:space="preserve">Ulang kata/frasa Day 83 dan Day 77. Tambahkan target hari ini; sesi review tidak perlu kata baru.</t>
  </si>
  <si>
    <t xml:space="preserve">Menyatakan aktivitas yang sedang berlangsung di masa lalu.</t>
  </si>
  <si>
    <t xml:space="preserve">pastcont</t>
  </si>
  <si>
    <t xml:space="preserve">while=sementara/ketika; called=menelepon lampau; happened=terjadi lampau; suddenly=tiba-tiba; interrupted=menyela lampau</t>
  </si>
  <si>
    <t xml:space="preserve">Past continuous and past simple</t>
  </si>
  <si>
    <t xml:space="preserve">https://learnenglish.britishcouncil.org/free-resources/grammar/a1-a2/past-continuous-past-simple</t>
  </si>
  <si>
    <t xml:space="preserve">Baca past continuous formation.</t>
  </si>
  <si>
    <t xml:space="preserve">Lesson 42: I Was Minding My Own Business</t>
  </si>
  <si>
    <t xml:space="preserve">https://learningenglish.voanews.com/a/lets-learn-english-lesson-42-i-was-minding-my-own-business/3647264.html</t>
  </si>
  <si>
    <t xml:space="preserve">Dengar kegiatan latar sebelum kejadian lain. Mulai dengan transkrip bila perlu, lalu coba tanpa teks. Ambil cuplikan bila panjang; total latihan 15 menit.</t>
  </si>
  <si>
    <t xml:space="preserve">Ceritakan yang dilakukan kemarin pukul 19.00.</t>
  </si>
  <si>
    <t xml:space="preserve">Tulis 6 kalimat was/were + ing.</t>
  </si>
  <si>
    <t xml:space="preserve">Was/were dan -ing hadir bersama.</t>
  </si>
  <si>
    <t xml:space="preserve">Ulang kata/frasa Day 84 dan Day 78. Tambahkan target hari ini; sesi review tidak perlu kata baru.</t>
  </si>
  <si>
    <t xml:space="preserve">Menghubungkan latar aktivitas dan kejadian singkat.</t>
  </si>
  <si>
    <t xml:space="preserve">when=ketika; arrived=tiba lampau; rang=berdering lampau; stopped=berhenti lampau; during=selama</t>
  </si>
  <si>
    <t xml:space="preserve">Baca contoh past continuous + past simple.</t>
  </si>
  <si>
    <t xml:space="preserve">Urutkan aktivitas latar dan kejadian dalam video. Mulai dengan transkrip bila perlu, lalu coba tanpa teks. Ambil cuplikan bila panjang; total latihan 15 menit.</t>
  </si>
  <si>
    <t xml:space="preserve">Buat 4 cerita mini when.</t>
  </si>
  <si>
    <t xml:space="preserve">Tulis 5 kalimat I was ... when ...</t>
  </si>
  <si>
    <t xml:space="preserve">Tense membedakan latar dan kejadian.</t>
  </si>
  <si>
    <t xml:space="preserve">Ulang kata/frasa Day 85 dan Day 79. Tambahkan target hari ini; sesi review tidak perlu kata baru.</t>
  </si>
  <si>
    <t xml:space="preserve">Menceritakan masalah dan cara menyelesaikannya.</t>
  </si>
  <si>
    <t xml:space="preserve">broken=rusak; error=kesalahan; solution=solusi; solved=memecahkan lampau; tested=menguji lampau</t>
  </si>
  <si>
    <t xml:space="preserve">Baca notes; ambil pola pesan tindakan untuk versi ceritamu.</t>
  </si>
  <si>
    <t xml:space="preserve">Catat masalah, usaha, dan hasil yang ditampilkan. Mulai dengan transkrip bila perlu, lalu coba tanpa teks. Ambil cuplikan bila panjang; total latihan 15 menit.</t>
  </si>
  <si>
    <t xml:space="preserve">Ceritakan bug sederhana 90 detik dengan bahasa dasar.</t>
  </si>
  <si>
    <t xml:space="preserve">Tulis 90 kata masalah → tindakan → hasil.</t>
  </si>
  <si>
    <t xml:space="preserve">Cerita memiliki 3 bagian dan konteks waktu.</t>
  </si>
  <si>
    <t xml:space="preserve">Ulang kata/frasa Day 86 dan Day 80. Tambahkan target hari ini; sesi review tidak perlu kata baru.</t>
  </si>
  <si>
    <t xml:space="preserve">Memilih should/must dan tenses lampau.</t>
  </si>
  <si>
    <t xml:space="preserve">Ulang kata Day 82–87; tanpa kata baru.</t>
  </si>
  <si>
    <t xml:space="preserve">Kerjakan ulang latihan past continuous/past simple.</t>
  </si>
  <si>
    <t xml:space="preserve">Catat 4 detail video lalu cek. Mulai dengan transkrip bila perlu, lalu coba tanpa teks. Ambil cuplikan bila panjang; total latihan 15 menit.</t>
  </si>
  <si>
    <t xml:space="preserve">Ceritakan masalah lalu beri saran, 90 detik.</t>
  </si>
  <si>
    <t xml:space="preserve">Tulis 6 kalimat cerita + 4 saran/aturan.</t>
  </si>
  <si>
    <t xml:space="preserve">Isi Evaluasi Day 88; cek makna modal.</t>
  </si>
  <si>
    <t xml:space="preserve">Ulang kata/frasa Day 87 dan Day 81. Tambahkan target hari ini; sesi review tidak perlu kata baru.</t>
  </si>
  <si>
    <t xml:space="preserve">Menghubungkan pengalaman, pelajaran, dan rencana baru.</t>
  </si>
  <si>
    <t xml:space="preserve">backup=cadangan; change=perubahan; next time=lain kali; improve=memperbaiki; result=hasil</t>
  </si>
  <si>
    <t xml:space="preserve">Baca email sebagai model struktur informasi.</t>
  </si>
  <si>
    <t xml:space="preserve">Lesson 43: Time for Plan B</t>
  </si>
  <si>
    <t xml:space="preserve">https://learningenglish.voanews.com/a/lets-learn-english-lesson-43-time-for-plan-b/3666458.html</t>
  </si>
  <si>
    <t xml:space="preserve">Dengar rencana alternatif dan alasan mengubahnya. Mulai dengan transkrip bila perlu, lalu coba tanpa teks. Ambil cuplikan bila panjang; total latihan 15 menit.</t>
  </si>
  <si>
    <t xml:space="preserve">Presentasi mini 2 menit: pengalaman dan langkah berikutnya.</t>
  </si>
  <si>
    <t xml:space="preserve">Tulis 100 kata dengan lampau dan going to.</t>
  </si>
  <si>
    <t xml:space="preserve">Perubahan tense sesuai perubahan waktu.</t>
  </si>
  <si>
    <t xml:space="preserve">Ulang kata/frasa Day 88 dan Day 82. Tambahkan target hari ini; sesi review tidak perlu kata baru.</t>
  </si>
  <si>
    <t xml:space="preserve">Memeriksa cerita lampau, rencana, perbandingan.</t>
  </si>
  <si>
    <t xml:space="preserve">Review 20 kata paling sulit bulan 3.</t>
  </si>
  <si>
    <t xml:space="preserve">Baca venue adverts; ringkas 5 fakta tanpa menambah data.</t>
  </si>
  <si>
    <t xml:space="preserve">Dengar video; tulis masalah dan rencana alternatif. Mulai dengan transkrip bila perlu, lalu coba tanpa teks. Ambil cuplikan bila panjang; total latihan 15 menit.</t>
  </si>
  <si>
    <t xml:space="preserve">Ceritakan pengalaman + pilihan + rencana, 2 menit.</t>
  </si>
  <si>
    <t xml:space="preserve">Tulis 100 kata dan periksa 5 kesalahan sendiri.</t>
  </si>
  <si>
    <t xml:space="preserve">Isi Evaluasi Day 90; kembali ke pola dasar bila perlu.</t>
  </si>
  <si>
    <t xml:space="preserve">Ulang kata/frasa Day 89 dan Day 83. Tambahkan target hari ini; sesi review tidak perlu kata baru.</t>
  </si>
  <si>
    <t xml:space="preserve">Mengenali have/has + V3 tanpa harus langsung mahir.</t>
  </si>
  <si>
    <t xml:space="preserve">perfect</t>
  </si>
  <si>
    <t xml:space="preserve">finished=selesai; started=mulai; done=melakukan V3; seen=melihat V3; been=be V3</t>
  </si>
  <si>
    <t xml:space="preserve">Present perfect</t>
  </si>
  <si>
    <t xml:space="preserve">https://learnenglish.britishcouncil.org/free-resources/grammar/english-grammar-reference/present-perfect</t>
  </si>
  <si>
    <t xml:space="preserve">Baca present perfect untuk hasil/pengalaman; abaikan bagian lanjutan.</t>
  </si>
  <si>
    <t xml:space="preserve">Lesson 48: Have You Ever ...?</t>
  </si>
  <si>
    <t xml:space="preserve">https://learningenglish.voanews.com/a/lets-learn-english-lesson-48-have-you-ever/3753664.html</t>
  </si>
  <si>
    <t xml:space="preserve">Cari have/has + bentuk ketiga. Mulai dengan transkrip bila perlu, lalu coba tanpa teks. Ambil cuplikan bila panjang; total latihan 15 menit.</t>
  </si>
  <si>
    <t xml:space="preserve">Ucapkan 5 hal yang sudah dikerjakan.</t>
  </si>
  <si>
    <t xml:space="preserve">Tulis 5 present perfect dan arti sederhananya.</t>
  </si>
  <si>
    <t xml:space="preserve">Paham beda have sebagai kata bantu dan kepemilikan.</t>
  </si>
  <si>
    <t xml:space="preserve">Ulang kata/frasa Day 90 dan Day 84. Tambahkan target hari ini; sesi review tidak perlu kata baru.</t>
  </si>
  <si>
    <t xml:space="preserve">Bertanya pengalaman tanpa waktu lampau spesifik.</t>
  </si>
  <si>
    <t xml:space="preserve">ever</t>
  </si>
  <si>
    <t xml:space="preserve">ever=pernah; never=tidak pernah; visited=mengunjungi V3; tried=mencoba V3; built=membangun V3</t>
  </si>
  <si>
    <t xml:space="preserve">Baca ever/never dan contoh pengalaman.</t>
  </si>
  <si>
    <t xml:space="preserve">Dengar pertanyaan pengalaman. Mulai dengan transkrip bila perlu, lalu coba tanpa teks. Ambil cuplikan bila panjang; total latihan 15 menit.</t>
  </si>
  <si>
    <t xml:space="preserve">Mainkan 6 tanya-jawab pengalaman nyata.</t>
  </si>
  <si>
    <t xml:space="preserve">Tulis 4 ever dan 4 never.</t>
  </si>
  <si>
    <t xml:space="preserve">Tidak menggabungkan yesterday dengan pola pengalaman ini.</t>
  </si>
  <si>
    <t xml:space="preserve">Ulang kata/frasa Day 91 dan Day 85. Tambahkan target hari ini; sesi review tidak perlu kata baru.</t>
  </si>
  <si>
    <t xml:space="preserve">Membedakan pengalaman umum dari kejadian bertanggal.</t>
  </si>
  <si>
    <t xml:space="preserve">already=sudah; yet=belum/sudah dalam tanya; recently=baru-baru ini; completed=menyelesaikan; project=proyek</t>
  </si>
  <si>
    <t xml:space="preserve">Baca perbandingan dengan finished past time.</t>
  </si>
  <si>
    <t xml:space="preserve">Cari pengalaman umum; buat lanjutan kapan terjadi sendiri. Mulai dengan transkrip bila perlu, lalu coba tanpa teks. Ambil cuplikan bila panjang; total latihan 15 menit.</t>
  </si>
  <si>
    <t xml:space="preserve">Jawab pernah/tidak, kemudian ceritakan kapan dengan past.</t>
  </si>
  <si>
    <t xml:space="preserve">Tulis 4 pasangan pengalaman + waktu spesifik.</t>
  </si>
  <si>
    <t xml:space="preserve">Waktu spesifik memakai past simple.</t>
  </si>
  <si>
    <t xml:space="preserve">Ulang kata/frasa Day 92 dan Day 86. Tambahkan target hari ini; sesi review tidak perlu kata baru.</t>
  </si>
  <si>
    <t xml:space="preserve">Membedakan durasi dan titik awal.</t>
  </si>
  <si>
    <t xml:space="preserve">since</t>
  </si>
  <si>
    <t xml:space="preserve">for=selama; since=sejak; month=bulan; year=tahun; habit=kebiasaan</t>
  </si>
  <si>
    <t xml:space="preserve">Baca present perfect untuk keadaan yang berlanjut.</t>
  </si>
  <si>
    <t xml:space="preserve">Lesson 51: A Good Habit</t>
  </si>
  <si>
    <t xml:space="preserve">https://learningenglish.voanews.com/a/lets-learn-english-lesson-51-a-good-habit/3773577.html</t>
  </si>
  <si>
    <t xml:space="preserve">Dengar kebiasaan dan perubahan; fokus bukan menghafal seluruh grammar video. Mulai dengan transkrip bila perlu, lalu coba tanpa teks. Ambil cuplikan bila panjang; total latihan 15 menit.</t>
  </si>
  <si>
    <t xml:space="preserve">Sebut 4 durasi kegiatan/keadaan yang masih berlanjut.</t>
  </si>
  <si>
    <t xml:space="preserve">Tulis 3 for dan 3 since memakai keadaan seperti live/study.</t>
  </si>
  <si>
    <t xml:space="preserve">Since diikuti titik awal, for durasi.</t>
  </si>
  <si>
    <t xml:space="preserve">Ulang kata/frasa Day 93 dan Day 87. Tambahkan target hari ini; sesi review tidak perlu kata baru.</t>
  </si>
  <si>
    <t xml:space="preserve">Menggunakan kamus untuk arti dan jenis kata.</t>
  </si>
  <si>
    <t xml:space="preserve">purpose</t>
  </si>
  <si>
    <t xml:space="preserve">word=kata; meaning=arti; noun=kata benda; verb=kata kerja; phrase=frasa</t>
  </si>
  <si>
    <t xml:space="preserve">Dictionary definitions</t>
  </si>
  <si>
    <t xml:space="preserve">https://learnenglish.britishcouncil.org/free-resources/reading/a1/dictionary-definitions</t>
  </si>
  <si>
    <t xml:space="preserve">Baca dictionary definitions; identifikasi noun/verb.</t>
  </si>
  <si>
    <t xml:space="preserve">Lesson 50: Back to School</t>
  </si>
  <si>
    <t xml:space="preserve">https://learningenglish.voanews.com/a/lets-learn-english-lesson-50-back-to-school/3771173.html</t>
  </si>
  <si>
    <t xml:space="preserve">Dengar kosakata sekolah; pilih 5 frasa. Mulai dengan transkrip bila perlu, lalu coba tanpa teks. Ambil cuplikan bila panjang; total latihan 15 menit.</t>
  </si>
  <si>
    <t xml:space="preserve">Ucapkan 5 kata target dalam kalimat, bukan terpisah.</t>
  </si>
  <si>
    <t xml:space="preserve">Buat 5 entri: kata, arti, jenis, contoh pribadi.</t>
  </si>
  <si>
    <t xml:space="preserve">Contoh sesuai jenis kata dan arti.</t>
  </si>
  <si>
    <t xml:space="preserve">Ulang kata/frasa Day 94 dan Day 88. Tambahkan target hari ini; sesi review tidak perlu kata baru.</t>
  </si>
  <si>
    <t xml:space="preserve">Memilih informasi kursus yang relevan.</t>
  </si>
  <si>
    <t xml:space="preserve">course=kursus; level=tingkat; duration=durasi; requirement=persyaratan; fee=biaya</t>
  </si>
  <si>
    <t xml:space="preserve">English course prospectus</t>
  </si>
  <si>
    <t xml:space="preserve">https://learnenglish.britishcouncil.org/free-resources/reading/a2/english-course-prospectus</t>
  </si>
  <si>
    <t xml:space="preserve">Baca prospectus 1 kali untuk tema, lalu cari level, jadwal, durasi yang tersedia.</t>
  </si>
  <si>
    <t xml:space="preserve">Dengar konteks belajar dan catat 3 informasi. Mulai dengan transkrip bila perlu, lalu coba tanpa teks. Ambil cuplikan bila panjang; total latihan 15 menit.</t>
  </si>
  <si>
    <t xml:space="preserve">Jelaskan pilihan kursus 1 menit.</t>
  </si>
  <si>
    <t xml:space="preserve">Tulis ringkasan 70–90 kata, maksimal cek 5 kata.</t>
  </si>
  <si>
    <t xml:space="preserve">Bedakan fakta tertulis dan informasi yang tidak ada.</t>
  </si>
  <si>
    <t xml:space="preserve">Ulang kata/frasa Day 95 dan Day 89. Tambahkan target hari ini; sesi review tidak perlu kata baru.</t>
  </si>
  <si>
    <t xml:space="preserve">Menguatkan perfect dasar dan strategi membaca.</t>
  </si>
  <si>
    <t xml:space="preserve">Ulang kata Day 91–96; tanpa kata baru.</t>
  </si>
  <si>
    <t xml:space="preserve">Ulang 5 contoh present perfect; jelaskan pemilihannya.</t>
  </si>
  <si>
    <t xml:space="preserve">Dengar ulang pengalaman tanpa transkrip dahulu. Coba tanpa teks dahulu, kemudian cek transkrip dan ulang bagian sulit. Ambil cuplikan bila panjang; total latihan 15 menit.</t>
  </si>
  <si>
    <t xml:space="preserve">Wawancara pengalaman 2 menit.</t>
  </si>
  <si>
    <t xml:space="preserve">Tulis 100 kata pengalaman tanpa memaksakan semua tense.</t>
  </si>
  <si>
    <t xml:space="preserve">Isi Evaluasi Day 97; perfect boleh tetap tahap pengenalan.</t>
  </si>
  <si>
    <t xml:space="preserve">Ulang kata/frasa Day 96 dan Day 90. Tambahkan target hari ini; sesi review tidak perlu kata baru.</t>
  </si>
  <si>
    <t xml:space="preserve">Memahami waktu, tempat, dan tindakan yang diminta.</t>
  </si>
  <si>
    <t xml:space="preserve">interview=wawancara; attend=menghadiri; bring=membawa; position=posisi; reply=membalas</t>
  </si>
  <si>
    <t xml:space="preserve">An invitation to a job interview</t>
  </si>
  <si>
    <t xml:space="preserve">https://learnenglish.britishcouncil.org/free-resources/reading/a2/invitation-job-interview</t>
  </si>
  <si>
    <t xml:space="preserve">Baca invitation; cari siapa, posisi, waktu, lokasi, respons yang diminta.</t>
  </si>
  <si>
    <t xml:space="preserve">Dengar pembicaraan pekerjaan. Coba tanpa teks dahulu, kemudian cek transkrip dan ulang bagian sulit. Ambil cuplikan bila panjang; total latihan 15 menit.</t>
  </si>
  <si>
    <t xml:space="preserve">Jelaskan isi undangan dalam 5 kalimat.</t>
  </si>
  <si>
    <t xml:space="preserve">Tulis balasan konfirmasi 60–80 kata.</t>
  </si>
  <si>
    <t xml:space="preserve">Konfirmasi tidak mengubah detail undangan.</t>
  </si>
  <si>
    <t xml:space="preserve">Ulang kata/frasa Day 97 dan Day 91. Tambahkan target hari ini; sesi review tidak perlu kata baru.</t>
  </si>
  <si>
    <t xml:space="preserve">Menjelaskan peran dan kemampuan nyata.</t>
  </si>
  <si>
    <t xml:space="preserve">profile</t>
  </si>
  <si>
    <t xml:space="preserve">developer=pengembang; website=situs web; build=membangun; interface=antarmuka; skill=keterampilan</t>
  </si>
  <si>
    <t xml:space="preserve">Professional profile summaries</t>
  </si>
  <si>
    <t xml:space="preserve">https://learnenglish.britishcouncil.org/free-resources/reading/a2/professional-profile-summaries</t>
  </si>
  <si>
    <t xml:space="preserve">Baca 2 profile summaries; tandai peran, pengalaman, keterampilan.</t>
  </si>
  <si>
    <t xml:space="preserve">Dengar cara menjelaskan kemampuan. Coba tanpa teks dahulu, kemudian cek transkrip dan ulang bagian sulit. Ambil cuplikan bila panjang; total latihan 15 menit.</t>
  </si>
  <si>
    <t xml:space="preserve">Perkenalan profesional 90 detik.</t>
  </si>
  <si>
    <t xml:space="preserve">Tulis profil 80–100 kata tanpa melebihkan pengalaman.</t>
  </si>
  <si>
    <t xml:space="preserve">Ada peran, 2 kemampuan, 1 contoh pekerjaan.</t>
  </si>
  <si>
    <t xml:space="preserve">Ulang kata/frasa Day 98 dan Day 92. Tambahkan target hari ini; sesi review tidak perlu kata baru.</t>
  </si>
  <si>
    <t xml:space="preserve">Memastikan instruksi sebelum bekerja.</t>
  </si>
  <si>
    <t xml:space="preserve">clarify</t>
  </si>
  <si>
    <t xml:space="preserve">mean=bermaksud; clarify=memperjelas; requirement=kebutuhan; example=contoh; understand=memahami</t>
  </si>
  <si>
    <t xml:space="preserve">Baca satu note; buat 3 pertanyaan jika detailnya belum lengkap.</t>
  </si>
  <si>
    <t xml:space="preserve">Dengar pertanyaan bantuan dan respons. Coba tanpa teks dahulu, kemudian cek transkrip dan ulang bagian sulit. Ambil cuplikan bila panjang; total latihan 15 menit.</t>
  </si>
  <si>
    <t xml:space="preserve">Latih Do you mean ...? dan Could you explain ...? 6 kali.</t>
  </si>
  <si>
    <t xml:space="preserve">Tulis dialog klarifikasi 10 baris.</t>
  </si>
  <si>
    <t xml:space="preserve">Pertanyaan menyasar informasi yang memang belum jelas.</t>
  </si>
  <si>
    <t xml:space="preserve">Ulang kata/frasa Day 99 dan Day 93. Tambahkan target hari ini; sesi review tidak perlu kata baru.</t>
  </si>
  <si>
    <t xml:space="preserve">Menjelaskan 5 langkah penggunaan antarmuka.</t>
  </si>
  <si>
    <t xml:space="preserve">button=tombol; form=formulir; submit=kirim formulir; enter=masukkan; select=pilih</t>
  </si>
  <si>
    <t xml:space="preserve">Baca pola notes/instruksi; ubah ke konteks form buatanmu.</t>
  </si>
  <si>
    <t xml:space="preserve">Dengar urutan tindakan perbaikan. Coba tanpa teks dahulu, kemudian cek transkrip dan ulang bagian sulit. Ambil cuplikan bila panjang; total latihan 15 menit.</t>
  </si>
  <si>
    <t xml:space="preserve">Demo lisan form login fiktif 90 detik.</t>
  </si>
  <si>
    <t xml:space="preserve">Tulis 6 langkah penggunaan form dengan verb dasar.</t>
  </si>
  <si>
    <t xml:space="preserve">Urutan bisa diikuti dan tanpa data rahasia.</t>
  </si>
  <si>
    <t xml:space="preserve">Ulang kata/frasa Day 100 dan Day 94. Tambahkan target hari ini; sesi review tidak perlu kata baru.</t>
  </si>
  <si>
    <t xml:space="preserve">Menjelaskan masalah, langkah, harapan, kenyataan.</t>
  </si>
  <si>
    <t xml:space="preserve">expected=yang diharapkan; actual=yang terjadi; loading=memuat; failed=gagal; reproduce=mengulangi kejadian</t>
  </si>
  <si>
    <t xml:space="preserve">Baca pesan kerja sebagai contoh ringkasnya instruksi.</t>
  </si>
  <si>
    <t xml:space="preserve">Dengar masalah dan percobaan solusi. Coba tanpa teks dahulu, kemudian cek transkrip dan ulang bagian sulit. Ambil cuplikan bila panjang; total latihan 15 menit.</t>
  </si>
  <si>
    <t xml:space="preserve">Jelaskan satu bug UI fiktif 90 detik.</t>
  </si>
  <si>
    <t xml:space="preserve">Tulis 80–100 kata: steps, expected, actual.</t>
  </si>
  <si>
    <t xml:space="preserve">Tiga bagian bug report jelas; bukan sekadar it is broken.</t>
  </si>
  <si>
    <t xml:space="preserve">Ulang kata/frasa Day 101 dan Day 95. Tambahkan target hari ini; sesi review tidak perlu kata baru.</t>
  </si>
  <si>
    <t xml:space="preserve">Memberikan update kerja 3 bagian.</t>
  </si>
  <si>
    <t xml:space="preserve">yesterday=kemarin; today=hari ini; blocked=terhambat; progress=kemajuan; task=tugas</t>
  </si>
  <si>
    <t xml:space="preserve">Baca profile untuk kosakata kerja; gunakan format tugas sendiri.</t>
  </si>
  <si>
    <t xml:space="preserve">Lesson 41: Teamwork Works Best With a Team</t>
  </si>
  <si>
    <t xml:space="preserve">https://learningenglish.voanews.com/a/lets-learn-english-lesson-41-teamwork/3635015.html</t>
  </si>
  <si>
    <t xml:space="preserve">Catat bentuk kolaborasi dan pembagian tugas. Coba tanpa teks dahulu, kemudian cek transkrip dan ulang bagian sulit. Ambil cuplikan bila panjang; total latihan 15 menit.</t>
  </si>
  <si>
    <t xml:space="preserve">Stand-up update 1–2 menit.</t>
  </si>
  <si>
    <t xml:space="preserve">Tulis 3 paragraf pendek: selesai, sedang/akan, kendala.</t>
  </si>
  <si>
    <t xml:space="preserve">Tenses sesuai waktu dan kendala spesifik.</t>
  </si>
  <si>
    <t xml:space="preserve">Ulang kata/frasa Day 102 dan Day 96. Tambahkan target hari ini; sesi review tidak perlu kata baru.</t>
  </si>
  <si>
    <t xml:space="preserve">Menggabungkan profil, klarifikasi, dan update.</t>
  </si>
  <si>
    <t xml:space="preserve">Ulang kata Day 98–103; tanpa kata baru.</t>
  </si>
  <si>
    <t xml:space="preserve">Baca ulang invitation; cek 5 detail tanpa kamus.</t>
  </si>
  <si>
    <t xml:space="preserve">Dengar bantuan lalu ringkas 3 poin. Coba tanpa teks dahulu, kemudian cek transkrip dan ulang bagian sulit. Ambil cuplikan bila panjang; total latihan 15 menit.</t>
  </si>
  <si>
    <t xml:space="preserve">Simulasi perkenalan + klarifikasi + update, 2 menit.</t>
  </si>
  <si>
    <t xml:space="preserve">Tulis email kerja 100 kata.</t>
  </si>
  <si>
    <t xml:space="preserve">Isi Evaluasi Day 104; pilih 3 frasa kerja untuk diulang.</t>
  </si>
  <si>
    <t xml:space="preserve">Ulang kata/frasa Day 103 dan Day 97. Tambahkan target hari ini; sesi review tidak perlu kata baru.</t>
  </si>
  <si>
    <t xml:space="preserve">Memberi pendapat dengan alasan sederhana.</t>
  </si>
  <si>
    <t xml:space="preserve">clear=jelas; simple=sederhana; user=pengguna; accessible=mudah diakses; faster=lebih cepat</t>
  </si>
  <si>
    <t xml:space="preserve">Bandingkan 2 opsi pada bacaan sebagai latihan memilih berdasarkan fakta.</t>
  </si>
  <si>
    <t xml:space="preserve">Dengar setuju/tidak setuju secara sopan. Coba tanpa teks dahulu, kemudian cek transkrip dan ulang bagian sulit. Ambil cuplikan bila panjang; total latihan 15 menit.</t>
  </si>
  <si>
    <t xml:space="preserve">Jelaskan 2 pilihan UI fiktif selama 2 menit.</t>
  </si>
  <si>
    <t xml:space="preserve">Tulis 100 kata: pilihan, alasan, trade-off sederhana.</t>
  </si>
  <si>
    <t xml:space="preserve">Minimal 2 alasan, bukan hanya I like it.</t>
  </si>
  <si>
    <t xml:space="preserve">Ulang kata/frasa Day 104 dan Day 98. Tambahkan target hari ini; sesi review tidak perlu kata baru.</t>
  </si>
  <si>
    <t xml:space="preserve">Menyatakan tujuan belajar dan bekerja.</t>
  </si>
  <si>
    <t xml:space="preserve">to=untuk pada pola tujuan; improve=meningkatkan; understand=memahami; communicate=berkomunikasi; read=membaca</t>
  </si>
  <si>
    <t xml:space="preserve">Baca infinitive sebagai pola; gunakan makna tujuan di Kamus Materi.</t>
  </si>
  <si>
    <t xml:space="preserve">Dengar tujuan belajar; pilih 3 frasa relevan. Coba tanpa teks dahulu, kemudian cek transkrip dan ulang bagian sulit. Ambil cuplikan bila panjang; total latihan 15 menit.</t>
  </si>
  <si>
    <t xml:space="preserve">Sebut 6 aktivitas dan tujuannya.</t>
  </si>
  <si>
    <t xml:space="preserve">Tulis 6 kalimat I ... to ...</t>
  </si>
  <si>
    <t xml:space="preserve">To diikuti bentuk dasar untuk tujuan.</t>
  </si>
  <si>
    <t xml:space="preserve">Ulang kata/frasa Day 105 dan Day 99. Tambahkan target hari ini; sesi review tidak perlu kata baru.</t>
  </si>
  <si>
    <t xml:space="preserve">Menangkap inti video sebelum detail.</t>
  </si>
  <si>
    <t xml:space="preserve">listening</t>
  </si>
  <si>
    <t xml:space="preserve">team=tim; together=bersama; goal=tujuan; role=peran; support=dukungan</t>
  </si>
  <si>
    <t xml:space="preserve">Setelah mendengar, baca transkrip untuk memeriksa 5 poin saja.</t>
  </si>
  <si>
    <t xml:space="preserve">Putaran 1 tanpa teks: siapa, kegiatan, masalah, tindakan, hasil yang tersedia. Coba tanpa teks dahulu, kemudian cek transkrip dan ulang bagian sulit. Ambil cuplikan bila panjang; total latihan 15 menit.</t>
  </si>
  <si>
    <t xml:space="preserve">Ringkas video 60–90 detik dengan kata sendiri.</t>
  </si>
  <si>
    <t xml:space="preserve">Tulis 5 informasi dan tandai mana yang belum pasti.</t>
  </si>
  <si>
    <t xml:space="preserve">Cek dengan transkrip; tidak menebak sebagai fakta.</t>
  </si>
  <si>
    <t xml:space="preserve">Ulang kata/frasa Day 106 dan Day 100. Tambahkan target hari ini; sesi review tidak perlu kata baru.</t>
  </si>
  <si>
    <t xml:space="preserve">Melatih pendengaran kata kecil dalam kalimat.</t>
  </si>
  <si>
    <t xml:space="preserve">listen=dengarkan; sentence=kalimat; sound=bunyi; missing=hilang/terlewat; notice=memperhatikan</t>
  </si>
  <si>
    <t xml:space="preserve">Lesson 49: Operation Spy!</t>
  </si>
  <si>
    <t xml:space="preserve">https://learningenglish.voanews.com/a/lets-learn-english-lesson-49-operation-spy/3763537.html</t>
  </si>
  <si>
    <t xml:space="preserve">Buka Conversation hanya setelah menulis hasil dengar.</t>
  </si>
  <si>
    <t xml:space="preserve">Ambil 4 potongan pendek; jeda dan tulis sebelum cek. Coba tanpa teks dahulu, kemudian cek transkrip dan ulang bagian sulit. Ambil cuplikan bila panjang; total latihan 15 menit.</t>
  </si>
  <si>
    <t xml:space="preserve">Bacakan hasil yang sudah dikoreksi.</t>
  </si>
  <si>
    <t xml:space="preserve">Tulis salah → benar untuk kata yang terlewat.</t>
  </si>
  <si>
    <t xml:space="preserve">Dikte maksimal 4 kalimat; ukur perbaikan, bukan hafalan penuh.</t>
  </si>
  <si>
    <t xml:space="preserve">Ulang kata/frasa Day 107 dan Day 101. Tambahkan target hari ini; sesi review tidak perlu kata baru.</t>
  </si>
  <si>
    <t xml:space="preserve">Membuat perkenalan lebih mudah dipahami.</t>
  </si>
  <si>
    <t xml:space="preserve">stress=tekanan; syllable=suku kata; pause=jeda; rhythm=ritme; clear=jelas</t>
  </si>
  <si>
    <t xml:space="preserve">Baca ulang 5 frasa pendek, beri tanda jeda sendiri.</t>
  </si>
  <si>
    <t xml:space="preserve">Tirukan 5 potongan 3 kali; jangan mengejar kecepatan. Coba tanpa teks dahulu, kemudian cek transkrip dan ulang bagian sulit. Ambil cuplikan bila panjang; total latihan 15 menit.</t>
  </si>
  <si>
    <t xml:space="preserve">Rekam perkenalan Day 2 versi baru 60 detik.</t>
  </si>
  <si>
    <t xml:space="preserve">Catat 3 perbedaan rekaman dulu dan sekarang.</t>
  </si>
  <si>
    <t xml:space="preserve">Perbaikan dinilai dari kejelasan, bukan kemiripan aksen.</t>
  </si>
  <si>
    <t xml:space="preserve">Ulang kata/frasa Day 108 dan Day 102. Tambahkan target hari ini; sesi review tidak perlu kata baru.</t>
  </si>
  <si>
    <t xml:space="preserve">Menyampaikan masalah, solusi, dan kontribusi sendiri.</t>
  </si>
  <si>
    <t xml:space="preserve">project=proyek; feature=fitur; challenge=tantangan; solution=solusi; result=hasil</t>
  </si>
  <si>
    <t xml:space="preserve">Baca struktur profil lalu susun outline presentasi.</t>
  </si>
  <si>
    <t xml:space="preserve">Dengar kerja sama; ambil 3 frasa berguna. Coba tanpa teks dahulu, kemudian cek transkrip dan ulang bagian sulit. Ambil cuplikan bila panjang; total latihan 15 menit.</t>
  </si>
  <si>
    <t xml:space="preserve">Rekam presentasi 2 menit hanya dengan 5 kata kunci.</t>
  </si>
  <si>
    <t xml:space="preserve">Tulis outline 5 poin, bukan naskah lengkap.</t>
  </si>
  <si>
    <t xml:space="preserve">Pendengar tahu proyek apa dan apa yang kamu kerjakan.</t>
  </si>
  <si>
    <t xml:space="preserve">Ulang kata/frasa Day 109 dan Day 103. Tambahkan target hari ini; sesi review tidak perlu kata baru.</t>
  </si>
  <si>
    <t xml:space="preserve">Memperbaiki kejelasan presentasi dan tangkapan audio.</t>
  </si>
  <si>
    <t xml:space="preserve">Ulang kata Day 105–110; tanpa kata baru.</t>
  </si>
  <si>
    <t xml:space="preserve">Baca ulang profil; pilih 5 frasa untuk diperiksa arti.</t>
  </si>
  <si>
    <t xml:space="preserve">Dengar ulang video; cek detail yang sebelumnya hilang. Coba tanpa teks dahulu, kemudian cek transkrip dan ulang bagian sulit. Ambil cuplikan bila panjang; total latihan 15 menit.</t>
  </si>
  <si>
    <t xml:space="preserve">Presentasi proyek 2 menit tanpa membaca paragraf.</t>
  </si>
  <si>
    <t xml:space="preserve">Tulis 100–120 kata ringkasan proyek.</t>
  </si>
  <si>
    <t xml:space="preserve">Isi Evaluasi Day 111; simpan rekaman perbandingan.</t>
  </si>
  <si>
    <t xml:space="preserve">Ulang kata/frasa Day 110 dan Day 104. Tambahkan target hari ini; sesi review tidak perlu kata baru.</t>
  </si>
  <si>
    <t xml:space="preserve">Memahami tips dan memilih yang bisa diterapkan.</t>
  </si>
  <si>
    <t xml:space="preserve">tip=kiat; focus=fokus; revise=mengulang pelajaran; remember=mengingat; improve=meningkatkan</t>
  </si>
  <si>
    <t xml:space="preserve">Study skills tips</t>
  </si>
  <si>
    <t xml:space="preserve">https://learnenglish.britishcouncil.org/free-resources/reading/a2/study-skills-tips</t>
  </si>
  <si>
    <t xml:space="preserve">Baca study skills tips; pilih 3 tips dan alasan pemilihan.</t>
  </si>
  <si>
    <t xml:space="preserve">Dengar kebiasaan baik dan dampaknya. Coba tanpa teks dahulu, kemudian cek transkrip dan ulang bagian sulit. Ambil cuplikan bila panjang; total latihan 15 menit.</t>
  </si>
  <si>
    <t xml:space="preserve">Jelaskan 3 tips dalam 90 detik.</t>
  </si>
  <si>
    <t xml:space="preserve">Tulis 100 kata rencana memperbaiki cara belajar.</t>
  </si>
  <si>
    <t xml:space="preserve">Tip diparafrasekan, tidak menyalin artikel.</t>
  </si>
  <si>
    <t xml:space="preserve">Ulang kata/frasa Day 111 dan Day 105. Tambahkan target hari ini; sesi review tidak perlu kata baru.</t>
  </si>
  <si>
    <t xml:space="preserve">Review terarah</t>
  </si>
  <si>
    <t xml:space="preserve">Membuat jadwal ulang untuk materi yang sulit.</t>
  </si>
  <si>
    <t xml:space="preserve">forget=lupa; review=mengulang; memory=ingatan; repeat=mengulangi; practice=latihan</t>
  </si>
  <si>
    <t xml:space="preserve">An infographic on the forgetting curve</t>
  </si>
  <si>
    <t xml:space="preserve">https://learnenglish.britishcouncil.org/free-resources/reading/a2/infographic-forgetting-curve</t>
  </si>
  <si>
    <t xml:space="preserve">Baca infographic; catat gagasan umum tanpa menganggap grafik sebagai ramalan pribadimu.</t>
  </si>
  <si>
    <t xml:space="preserve">Dengar pembentukan kebiasaan. Coba tanpa teks dahulu, kemudian cek transkrip dan ulang bagian sulit. Ambil cuplikan bila panjang; total latihan 15 menit.</t>
  </si>
  <si>
    <t xml:space="preserve">Jelaskan cara mengulang 5 kata sulit.</t>
  </si>
  <si>
    <t xml:space="preserve">Buat daftar 10 kata sulit beserta hari review berikutnya.</t>
  </si>
  <si>
    <t xml:space="preserve">Pilih kata dari kesalahan nyata, bukan acak.</t>
  </si>
  <si>
    <t xml:space="preserve">Ulang kata/frasa Day 112 dan Day 106. Tambahkan target hari ini; sesi review tidak perlu kata baru.</t>
  </si>
  <si>
    <t xml:space="preserve">Menjawab 4 pertanyaan dasar dengan jujur.</t>
  </si>
  <si>
    <t xml:space="preserve">strength=kekuatan; learn=belajar; teamwork=kerja sama; experience=pengalaman; improve=meningkatkan</t>
  </si>
  <si>
    <t xml:space="preserve">Baca invitation untuk konteks persiapan wawancara.</t>
  </si>
  <si>
    <t xml:space="preserve">Dengar kemampuan; pilih pola yang sesuai. Coba tanpa teks dahulu, kemudian cek transkrip dan ulang bagian sulit. Ambil cuplikan bila panjang; total latihan 15 menit.</t>
  </si>
  <si>
    <t xml:space="preserve">Jawab: siapa kamu, kemampuan, proyek, target belajar; total 2–3 menit.</t>
  </si>
  <si>
    <t xml:space="preserve">Tulis 4 jawaban masing-masing 2–3 kalimat.</t>
  </si>
  <si>
    <t xml:space="preserve">Ada contoh konkret, bukan klaim kemampuan berlebihan.</t>
  </si>
  <si>
    <t xml:space="preserve">Ulang kata/frasa Day 113 dan Day 107. Tambahkan target hari ini; sesi review tidak perlu kata baru.</t>
  </si>
  <si>
    <t xml:space="preserve">Menyebut tujuan, detail, dan tindakan berikutnya.</t>
  </si>
  <si>
    <t xml:space="preserve">subject=subjek/judul email; request=permintaan; attach=melampirkan; confirm=konfirmasi; regards=salam penutup</t>
  </si>
  <si>
    <t xml:space="preserve">Baca 2 notes; cek seberapa jelas tindakan yang diminta.</t>
  </si>
  <si>
    <t xml:space="preserve">Dengar menawarkan bantuan; pilih satu ungkapan sopan. Coba tanpa teks dahulu, kemudian cek transkrip dan ulang bagian sulit. Ambil cuplikan bila panjang; total latihan 15 menit.</t>
  </si>
  <si>
    <t xml:space="preserve">Bacakan emailmu dan cek bagian yang bertele-tele.</t>
  </si>
  <si>
    <t xml:space="preserve">Tulis email 100 kata tentang meminta review halaman.</t>
  </si>
  <si>
    <t xml:space="preserve">Subjek, tujuan, permintaan, dan penutup ada.</t>
  </si>
  <si>
    <t xml:space="preserve">Ulang kata/frasa Day 114 dan Day 108. Tambahkan target hari ini; sesi review tidak perlu kata baru.</t>
  </si>
  <si>
    <t xml:space="preserve">Mencoba tugas berbatas waktu tanpa mengklaim skor resmi.</t>
  </si>
  <si>
    <t xml:space="preserve">chance=kesempatan; choice=pilihan; information=informasi; answer=jawaban; evidence=bukti</t>
  </si>
  <si>
    <t xml:space="preserve">Baca satu prospectus 10 menit; catat 5 detail lalu cek.</t>
  </si>
  <si>
    <t xml:space="preserve">Lesson 52: Taking Chances</t>
  </si>
  <si>
    <t xml:space="preserve">https://learningenglish.voanews.com/a/lets-learn-english-lesson-52-taking-chances/3805454.html</t>
  </si>
  <si>
    <t xml:space="preserve">Dengar video 1 putaran; catat 5 poin lalu verifikasi. Coba tanpa teks dahulu, kemudian cek transkrip dan ulang bagian sulit. Ambil cuplikan bila panjang; total latihan 15 menit.</t>
  </si>
  <si>
    <t xml:space="preserve">Jelaskan 3 hal yang dipahami dan 1 yang masih sulit.</t>
  </si>
  <si>
    <t xml:space="preserve">Tulis ringkasan 80 kata dari salah satu sumber.</t>
  </si>
  <si>
    <t xml:space="preserve">Catat jumlah poin benar; ini latihan, bukan TOEFL.</t>
  </si>
  <si>
    <t xml:space="preserve">Ulang kata/frasa Day 115 dan Day 109. Tambahkan target hari ini; sesi review tidak perlu kata baru.</t>
  </si>
  <si>
    <t xml:space="preserve">Menyiapkan perkenalan, proyek, pengalaman, dan rencana.</t>
  </si>
  <si>
    <t xml:space="preserve">outline=kerangka; draft=draf; edit=sunting; proofread=periksa tulisan; rehearse=latihan presentasi</t>
  </si>
  <si>
    <t xml:space="preserve">Baca profil untuk contoh struktur; susun isi sendiri.</t>
  </si>
  <si>
    <t xml:space="preserve">Dengar penyesuaian rencana; tentukan rencana cadangan jika lupa kata. Coba tanpa teks dahulu, kemudian cek transkrip dan ulang bagian sulit. Ambil cuplikan bila panjang; total latihan 15 menit.</t>
  </si>
  <si>
    <t xml:space="preserve">Latihan presentasi akhir 2–3 menit dengan kata kunci.</t>
  </si>
  <si>
    <t xml:space="preserve">Tulis draf 120 kata tentang diri, proyek, dan rencana.</t>
  </si>
  <si>
    <t xml:space="preserve">Draf hanya memuat pengalaman yang benar.</t>
  </si>
  <si>
    <t xml:space="preserve">Ulang kata/frasa Day 116 dan Day 110. Tambahkan target hari ini; sesi review tidak perlu kata baru.</t>
  </si>
  <si>
    <t xml:space="preserve">Memperbaiki kelemahan yang masih berulang.</t>
  </si>
  <si>
    <t xml:space="preserve">Pilih 15 kata dan 5 pola paling sulit dari tracker.</t>
  </si>
  <si>
    <t xml:space="preserve">Baca ulang pola dasar di sumber, lalu cek draf Day 117.</t>
  </si>
  <si>
    <t xml:space="preserve">Ulang video mudah untuk mengukur kemajuan sejak awal. Coba tanpa teks dahulu, kemudian cek transkrip dan ulang bagian sulit. Ambil cuplikan bila panjang; total latihan 15 menit.</t>
  </si>
  <si>
    <t xml:space="preserve">Rekam ulang bagian presentasi yang tersendat.</t>
  </si>
  <si>
    <t xml:space="preserve">Perbaiki 5 kalimat dan tulis alasan koreksi.</t>
  </si>
  <si>
    <t xml:space="preserve">Isi Evaluasi Day 118; jangan tambah materi berat.</t>
  </si>
  <si>
    <t xml:space="preserve">Ulang kata/frasa Day 117 dan Day 111. Tambahkan target hari ini; sesi review tidak perlu kata baru.</t>
  </si>
  <si>
    <t xml:space="preserve">Menggunakan bahasa untuk tugas yang nyata.</t>
  </si>
  <si>
    <t xml:space="preserve">Review frasa proyek dan komunikasi; tanpa kata baru.</t>
  </si>
  <si>
    <t xml:space="preserve">Baca kembali draf dan cek kejelasan terhadap contoh profil.</t>
  </si>
  <si>
    <t xml:space="preserve">Tonton sebagai pemanasan; tangkap 3 frasa kerja sama. Coba tanpa teks dahulu, kemudian cek transkrip dan ulang bagian sulit. Ambil cuplikan bila panjang; total latihan 15 menit.</t>
  </si>
  <si>
    <t xml:space="preserve">Rekam presentasi 2–3 menit: diri, proyek, pengalaman, rencana.</t>
  </si>
  <si>
    <t xml:space="preserve">Finalisasi teks 120–150 kata; lampirkan lokasi rekaman di Tracker.</t>
  </si>
  <si>
    <t xml:space="preserve">Ada rekaman dan teks final yang dapat dibandingkan Day 1.</t>
  </si>
  <si>
    <t xml:space="preserve">Ulang kata/frasa Day 118 dan Day 112. Tambahkan target hari ini; sesi review tidak perlu kata baru.</t>
  </si>
  <si>
    <t xml:space="preserve">Membandingkan kemajuan dan memilih fokus lanjutan.</t>
  </si>
  <si>
    <t xml:space="preserve">Pilih 20 kata yang kini mudah dan 10 yang masih sulit.</t>
  </si>
  <si>
    <t xml:space="preserve">An end of term report</t>
  </si>
  <si>
    <t xml:space="preserve">https://learnenglish.britishcouncil.org/free-resources/reading/a2/end-term-report</t>
  </si>
  <si>
    <t xml:space="preserve">Baca end of term report sebagai contoh umpan balik; nilai diri dengan bukti.</t>
  </si>
  <si>
    <t xml:space="preserve">Tonton Lesson 1 tanpa teks lalu bandingkan pemahaman awal. Coba tanpa teks dahulu, kemudian cek transkrip dan ulang bagian sulit. Ambil cuplikan bila panjang; total latihan 15 menit.</t>
  </si>
  <si>
    <t xml:space="preserve">Rekam perkenalan 60 detik dan bandingkan Day 1/30.</t>
  </si>
  <si>
    <t xml:space="preserve">Tulis refleksi 100 kata: bisa apa, sulit apa, fokus 30 hari berikutnya.</t>
  </si>
  <si>
    <t xml:space="preserve">Isi Evaluasi Day 120; skor internal bukan sertifikat atau prediksi TOEFL.</t>
  </si>
  <si>
    <t xml:space="preserve">Ulang kata/frasa Day 119 dan Day 113. Tambahkan target hari ini; sesi review tidak perlu kata baru.</t>
  </si>
  <si>
    <t xml:space="preserve">KAMUS MATERI</t>
  </si>
  <si>
    <t xml:space="preserve">58 istilah dan pola dalam bahasa Indonesia. Contoh dibuat khusus untuk latihan; sumber pendamping memberi konteks tambahan.</t>
  </si>
  <si>
    <t xml:space="preserve">Istilah / pola</t>
  </si>
  <si>
    <t xml:space="preserve">Pengertian sederhana</t>
  </si>
  <si>
    <t xml:space="preserve">Contoh dan arti</t>
  </si>
  <si>
    <t xml:space="preserve">URL pendamping</t>
  </si>
  <si>
    <t xml:space="preserve">Level pemakaian</t>
  </si>
  <si>
    <t xml:space="preserve">Alphabet &amp; spelling</t>
  </si>
  <si>
    <t xml:space="preserve">Alphabet adalah kumpulan huruf. Spelling berarti menyebut huruf penyusun kata; nama huruf tidak selalu sama dengan bunyinya di dalam kata.</t>
  </si>
  <si>
    <t xml:space="preserve">My name is Sam. S-A-M. = Nama saya Sam, dieja S-A-M.</t>
  </si>
  <si>
    <t xml:space="preserve">Dasar / strategi</t>
  </si>
  <si>
    <t xml:space="preserve">Greetings &amp; introduction</t>
  </si>
  <si>
    <t xml:space="preserve">Greeting berarti sapaan. Introduction adalah perkenalan singkat yang menyampaikan nama dan informasi diri dengan sopan.</t>
  </si>
  <si>
    <t xml:space="preserve">Hi, I am Sam. Nice to meet you. = Hai, saya Sam. Senang bertemu kamu.</t>
  </si>
  <si>
    <t xml:space="preserve">Subject pronoun</t>
  </si>
  <si>
    <t xml:space="preserve">Kata ganti subjek menggantikan orang atau benda yang menjadi pokok kalimat: I, you, we, they, he, she, it.</t>
  </si>
  <si>
    <t xml:space="preserve">She is a student. = Dia seorang mahasiswa. She menggantikan nama perempuan.</t>
  </si>
  <si>
    <t xml:space="preserve">To be: am / is / are</t>
  </si>
  <si>
    <t xml:space="preserve">Am, is, dan are menghubungkan subjek dengan identitas, sifat, atau lokasi. Gunakan I am; he/she/it is; you/we/they are.</t>
  </si>
  <si>
    <t xml:space="preserve">I am ready. She is at home. = Saya siap. Dia di rumah.</t>
  </si>
  <si>
    <t xml:space="preserve">Kalimat negatif dengan be</t>
  </si>
  <si>
    <t xml:space="preserve">Untuk menyangkal kalimat yang memakai be, letakkan not setelah am/is/are. Bentuk singkat: is not → isn't; are not → aren't.</t>
  </si>
  <si>
    <t xml:space="preserve">I am not tired. = Saya tidak lelah. Bukan I not tired.</t>
  </si>
  <si>
    <t xml:space="preserve">Pertanyaan dengan be</t>
  </si>
  <si>
    <t xml:space="preserve">Pertanyaan ya/tidak dengan be menempatkan am/is/are sebelum subjek. Jawaban singkat mengulang be yang sesuai.</t>
  </si>
  <si>
    <t xml:space="preserve">Are you busy? Yes, I am. = Apakah kamu sibuk? Ya.</t>
  </si>
  <si>
    <t xml:space="preserve">Question words</t>
  </si>
  <si>
    <t xml:space="preserve">What menanyakan apa; who siapa; where di mana; when kapan; why mengapa; how bagaimana. Susunan setelahnya bergantung pada kata kerja.</t>
  </si>
  <si>
    <t xml:space="preserve">Where do you work? = Kamu bekerja di mana?</t>
  </si>
  <si>
    <t xml:space="preserve">Possessive adjective</t>
  </si>
  <si>
    <t xml:space="preserve">My, your, his, her, its, our, their menandai pemilik dan diikuti kata benda. Bedakan your (milikmu) dari you're (you are).</t>
  </si>
  <si>
    <t xml:space="preserve">This is my notebook. = Ini buku catatan saya.</t>
  </si>
  <si>
    <t xml:space="preserve">Noun &amp; plural</t>
  </si>
  <si>
    <t xml:space="preserve">Noun adalah kata benda, orang, tempat, atau gagasan. Plural berarti lebih dari satu; banyak kata menambah -s, tetapi ada bentuk tidak beraturan.</t>
  </si>
  <si>
    <t xml:space="preserve">one book → two books; one child → two children.</t>
  </si>
  <si>
    <t xml:space="preserve">A / an / the</t>
  </si>
  <si>
    <t xml:space="preserve">A/an dipakai sebelum kata benda tunggal yang dapat dihitung dan belum spesifik. Pilih berdasarkan bunyi awal: a university, an hour. The menunjuk yang sudah tertentu.</t>
  </si>
  <si>
    <t xml:space="preserve">I have a pen. The pen is blue. = Saya punya pena. Pena itu biru.</t>
  </si>
  <si>
    <t xml:space="preserve">This / that / these / those</t>
  </si>
  <si>
    <t xml:space="preserve">This/these menunjuk yang dekat; that/those yang jauh. This/that untuk tunggal, these/those untuk jamak.</t>
  </si>
  <si>
    <t xml:space="preserve">This is a cup. Those are books. = Ini cangkir. Itu buku-buku.</t>
  </si>
  <si>
    <t xml:space="preserve">Adjective</t>
  </si>
  <si>
    <t xml:space="preserve">Adjective adalah kata sifat yang menjelaskan orang atau benda. Biasanya berada sebelum noun atau setelah be; tidak berubah menjadi jamak.</t>
  </si>
  <si>
    <t xml:space="preserve">a small room; The room is small. = kamar kecil; Kamar itu kecil.</t>
  </si>
  <si>
    <t xml:space="preserve">Numbers, time &amp; dates</t>
  </si>
  <si>
    <t xml:space="preserve">Cardinal numbers menyatakan jumlah (one, two). Ordinal numbers menyatakan urutan (first, second). Latih angka, jam, dan tanggal dalam konteks.</t>
  </si>
  <si>
    <t xml:space="preserve">The lesson starts at seven. = Pelajaran mulai pukul tujuh.</t>
  </si>
  <si>
    <t xml:space="preserve">There is / there are</t>
  </si>
  <si>
    <t xml:space="preserve">There is menyatakan keberadaan satu benda atau uncountable noun; there are untuk jamak. Maknanya ada, bukan terjemahan harfiah di sana.</t>
  </si>
  <si>
    <t xml:space="preserve">There is a desk. There are two chairs. = Ada meja dan dua kursi.</t>
  </si>
  <si>
    <t xml:space="preserve">Prepositions of place</t>
  </si>
  <si>
    <t xml:space="preserve">Preposition of place menunjukkan lokasi. In umumnya di dalam/area; on di atas permukaan; at pada suatu titik atau tempat kegiatan.</t>
  </si>
  <si>
    <t xml:space="preserve">The mouse is on the desk. = Mouse ada di atas meja.</t>
  </si>
  <si>
    <t xml:space="preserve">Have / has</t>
  </si>
  <si>
    <t xml:space="preserve">Have/has menyatakan kepemilikan atau hubungan. I/you/we/they memakai have; he/she/it memakai has. Untuk pertanyaan biasa gunakan do/does + have.</t>
  </si>
  <si>
    <t xml:space="preserve">She has a laptop. Does she have a mouse? = Dia punya laptop. Apakah dia punya mouse?</t>
  </si>
  <si>
    <t xml:space="preserve">Apostrophe + s menunjukkan pemilik: Sam's bag. Untuk jamak berakhiran s, apostrophe diletakkan setelah s. Bedakan 's pemilik dari is.</t>
  </si>
  <si>
    <t xml:space="preserve">This is my sister's phone. = Ini telepon saudara perempuan saya.</t>
  </si>
  <si>
    <t xml:space="preserve">Simple present</t>
  </si>
  <si>
    <t xml:space="preserve">Bentuk ini menyatakan kebiasaan atau fakta. Pakai kata kerja dasar; untuk he/she/it tambahkan -s/-es sesuai ejaan.</t>
  </si>
  <si>
    <t xml:space="preserve">I build websites. She builds websites. = Saya/Dia membuat situs web.</t>
  </si>
  <si>
    <t xml:space="preserve">Do / does: negatif &amp; tanya</t>
  </si>
  <si>
    <t xml:space="preserve">Do/does membantu pertanyaan dan penyangkalan simple present. Setelah does atau doesn't, kata kerja kembali ke bentuk dasar.</t>
  </si>
  <si>
    <t xml:space="preserve">Does he work here? He doesn't work here. Bukan does he works.</t>
  </si>
  <si>
    <t xml:space="preserve">Adverbs of frequency</t>
  </si>
  <si>
    <t xml:space="preserve">Always, usually, often, sometimes, never menyatakan seberapa sering. Umumnya sebelum kata kerja utama, tetapi setelah be.</t>
  </si>
  <si>
    <t xml:space="preserve">I usually study at night. I am often busy. = Saya biasanya belajar malam dan sering sibuk.</t>
  </si>
  <si>
    <t xml:space="preserve">At / on / in untuk waktu</t>
  </si>
  <si>
    <t xml:space="preserve">At dipakai untuk jam; on untuk hari/tanggal; in untuk bulan/tahun atau bagian hari tertentu. Ada ungkapan khusus seperti at night.</t>
  </si>
  <si>
    <t xml:space="preserve">at 7 p.m.; on Monday; in September = pukul 7 malam; Senin; September.</t>
  </si>
  <si>
    <t xml:space="preserve">Object pronoun</t>
  </si>
  <si>
    <t xml:space="preserve">Me, you, him, her, it, us, them menggantikan penerima tindakan atau mengikuti preposition; berbeda dari kata ganti subjek.</t>
  </si>
  <si>
    <t xml:space="preserve">She helps me. I work with her. = Dia membantu saya. Saya bekerja dengannya.</t>
  </si>
  <si>
    <t xml:space="preserve">Can / can't</t>
  </si>
  <si>
    <t xml:space="preserve">Can menyatakan kemampuan atau izin sederhana, diikuti kata kerja dasar tanpa to dan tanpa -s. Bentuk negatifnya can't/cannot.</t>
  </si>
  <si>
    <t xml:space="preserve">I can write code. Can you help? = Saya bisa menulis kode. Bisa bantu?</t>
  </si>
  <si>
    <t xml:space="preserve">Permintaan sopan</t>
  </si>
  <si>
    <t xml:space="preserve">Can you/Could you + kata kerja dasar digunakan untuk meminta bantuan. Could biasanya terasa lebih sopan, bukan selalu menunjukkan masa lalu.</t>
  </si>
  <si>
    <t xml:space="preserve">Could you repeat that, please? = Bisa tolong diulangi?</t>
  </si>
  <si>
    <t xml:space="preserve">Imperative</t>
  </si>
  <si>
    <t xml:space="preserve">Kalimat perintah memakai kata kerja dasar tanpa subjek yang disebutkan. Tambahkan please agar lebih sopan; Don't + verb untuk larangan.</t>
  </si>
  <si>
    <t xml:space="preserve">Please open the file. Don't close the tab. = Buka berkasnya. Jangan tutup tab.</t>
  </si>
  <si>
    <t xml:space="preserve">Am/is/are + verb-ing menyatakan aktivitas yang sedang berlangsung sekarang atau sekitar sekarang. Jangan hilangkan be.</t>
  </si>
  <si>
    <t xml:space="preserve">I am testing the page now. = Saya sedang menguji halaman sekarang.</t>
  </si>
  <si>
    <t xml:space="preserve">Present simple vs continuous</t>
  </si>
  <si>
    <t xml:space="preserve">Simple present menyoroti kebiasaan/fakta; present continuous menyoroti kegiatan yang sedang berlangsung. Pilih berdasarkan maksud, bukan hanya kata waktu.</t>
  </si>
  <si>
    <t xml:space="preserve">I work at home. I am working now. = Saya bekerja di rumah; sekarang sedang bekerja.</t>
  </si>
  <si>
    <t xml:space="preserve">Like + noun / -ing</t>
  </si>
  <si>
    <t xml:space="preserve">Like/love/enjoy dapat mengungkapkan kesukaan. Untuk aktivitas, latih like/love/enjoy + verb-ing; enjoy tidak diikuti to + verb.</t>
  </si>
  <si>
    <t xml:space="preserve">I enjoy reading. = Saya menikmati membaca. Bukan enjoy to read.</t>
  </si>
  <si>
    <t xml:space="preserve">Countable / uncountable</t>
  </si>
  <si>
    <t xml:space="preserve">Countable noun dapat dihitung satuan (a book, two books). Uncountable noun diperlakukan sebagai massa (water, information); gunakan satuan seperti a glass of water.</t>
  </si>
  <si>
    <t xml:space="preserve">some water; two glasses of water = air; dua gelas air.</t>
  </si>
  <si>
    <t xml:space="preserve">Some / any</t>
  </si>
  <si>
    <t xml:space="preserve">Some lazim dalam pernyataan positif; any lazim dalam pertanyaan dan negatif. Some juga sering digunakan pada tawaran atau permintaan tertentu.</t>
  </si>
  <si>
    <t xml:space="preserve">I have some rice. Do you have any eggs? = Saya punya nasi. Ada telur?</t>
  </si>
  <si>
    <t xml:space="preserve">Much / many / how much</t>
  </si>
  <si>
    <t xml:space="preserve">Many dipakai dengan countable jamak; much dengan uncountable. How much juga menanyakan harga; a lot of dapat dipakai untuk keduanya.</t>
  </si>
  <si>
    <t xml:space="preserve">How many books? How much water? = Berapa buku? Berapa banyak air?</t>
  </si>
  <si>
    <t xml:space="preserve">Want / need / would like</t>
  </si>
  <si>
    <t xml:space="preserve">Want berarti ingin; need berarti perlu. Want/need + to + verb menyatakan tindakan yang diinginkan/diperlukan. Would like terdengar lebih sopan untuk meminta.</t>
  </si>
  <si>
    <t xml:space="preserve">I'd like some tea. I need to study. = Saya ingin teh. Saya perlu belajar.</t>
  </si>
  <si>
    <t xml:space="preserve">Was / were</t>
  </si>
  <si>
    <t xml:space="preserve">Was/were adalah bentuk lampau be: I/he/she/it was; you/we/they were. Negatif memakai not; pertanyaan menempatkan was/were sebelum subjek.</t>
  </si>
  <si>
    <t xml:space="preserve">I was busy yesterday. Were you at home? = Kemarin saya sibuk. Kamu di rumah?</t>
  </si>
  <si>
    <t xml:space="preserve">Simple past: regular verbs</t>
  </si>
  <si>
    <t xml:space="preserve">Simple past menceritakan kejadian yang selesai di masa lalu. Banyak kata kerja beraturan menambah -ed/-d; bentuknya sama untuk semua subjek.</t>
  </si>
  <si>
    <t xml:space="preserve">I cleaned my room yesterday. = Kemarin saya membersihkan kamar.</t>
  </si>
  <si>
    <t xml:space="preserve">Simple past: irregular verbs</t>
  </si>
  <si>
    <t xml:space="preserve">Kata kerja tidak beraturan memiliki bentuk lampau khusus, misalnya go→went, eat→ate, make→made. Pelajari dalam kalimat, bukan hanya daftar.</t>
  </si>
  <si>
    <t xml:space="preserve">I made a website last week. = Minggu lalu saya membuat situs web.</t>
  </si>
  <si>
    <t xml:space="preserve">Did / didn't</t>
  </si>
  <si>
    <t xml:space="preserve">Did membantu pertanyaan atau negatif simple past. Setelah did/didn't, gunakan bentuk dasar. Be lampau menggunakan was/were, bukan did be.</t>
  </si>
  <si>
    <t xml:space="preserve">Did you finish? I didn't finish. = Sudah selesai? Saya belum/tidak selesai.</t>
  </si>
  <si>
    <t xml:space="preserve">Urutan cerita &amp; connectors</t>
  </si>
  <si>
    <t xml:space="preserve">First, then, next, finally mengurutkan cerita. And menambah informasi; but memberi kontras; because memberi alasan; so menyatakan akibat.</t>
  </si>
  <si>
    <t xml:space="preserve">I was tired, so I rested. = Saya lelah, jadi saya beristirahat.</t>
  </si>
  <si>
    <t xml:space="preserve">Be going to</t>
  </si>
  <si>
    <t xml:space="preserve">Am/is/are + going to + verb menyatakan rencana atau prediksi berdasarkan bukti. Tetap sertakan be sebelum going to.</t>
  </si>
  <si>
    <t xml:space="preserve">I am going to study tonight. = Saya berencana belajar malam ini.</t>
  </si>
  <si>
    <t xml:space="preserve">Will / won't</t>
  </si>
  <si>
    <t xml:space="preserve">Will + kata kerja dasar dapat menyatakan keputusan spontan, janji, atau prediksi. Won't adalah will not. Makna masa depan juga bisa memakai bentuk lain.</t>
  </si>
  <si>
    <t xml:space="preserve">I will send the file. = Saya akan mengirim berkasnya.</t>
  </si>
  <si>
    <t xml:space="preserve">Comparative</t>
  </si>
  <si>
    <t xml:space="preserve">Comparative membandingkan dua hal: small→smaller, useful→more useful; good→better. Gunakan than untuk menyebut pembanding.</t>
  </si>
  <si>
    <t xml:space="preserve">This page is faster than that page. = Halaman ini lebih cepat daripada halaman itu.</t>
  </si>
  <si>
    <t xml:space="preserve">Superlative</t>
  </si>
  <si>
    <t xml:space="preserve">Superlative menunjukkan yang paling dalam suatu kelompok: the smallest, the most useful; good→the best. Tidak sama dengan perbandingan dua hal.</t>
  </si>
  <si>
    <t xml:space="preserve">This is the best option for me. = Ini pilihan terbaik untuk saya.</t>
  </si>
  <si>
    <t xml:space="preserve">Adverb of manner</t>
  </si>
  <si>
    <t xml:space="preserve">Keterangan cara menjelaskan bagaimana tindakan dilakukan. Banyak yang berakhiran -ly, tetapi ada bentuk khusus seperti well dan fast.</t>
  </si>
  <si>
    <t xml:space="preserve">Please speak slowly. = Tolong bicara perlahan.</t>
  </si>
  <si>
    <t xml:space="preserve">Should / shouldn't</t>
  </si>
  <si>
    <t xml:space="preserve">Should + verb dasar memberi saran; shouldn't menyarankan agar tidak melakukan sesuatu. Ini tidak sekuat kewajiban.</t>
  </si>
  <si>
    <t xml:space="preserve">You should take a break. = Sebaiknya kamu beristirahat.</t>
  </si>
  <si>
    <t xml:space="preserve">Must / have to</t>
  </si>
  <si>
    <t xml:space="preserve">Must dan have to menyatakan kewajiban. Mustn't berarti dilarang; don't have to berarti tidak wajib, bukan dilarang.</t>
  </si>
  <si>
    <t xml:space="preserve">You mustn't share passwords. You don't have to print it. = Dilarang berbagi kata sandi; tidak wajib mencetak.</t>
  </si>
  <si>
    <t xml:space="preserve">Past continuous</t>
  </si>
  <si>
    <t xml:space="preserve">Was/were + verb-ing menggambarkan aktivitas yang sedang berlangsung pada suatu waktu lampau; simple past dapat menyela latar aktivitas itu.</t>
  </si>
  <si>
    <t xml:space="preserve">I was studying when you called. = Saya sedang belajar ketika kamu menelepon.</t>
  </si>
  <si>
    <t xml:space="preserve">Pengenalan A2</t>
  </si>
  <si>
    <t xml:space="preserve">Present perfect: pengenalan</t>
  </si>
  <si>
    <t xml:space="preserve">Have/has + past participle menghubungkan pengalaman/hasil masa lalu dengan sekarang. Untuk waktu lampau yang sudah spesifik seperti yesterday, biasanya gunakan simple past.</t>
  </si>
  <si>
    <t xml:space="preserve">I have finished the task. = Saya sudah menyelesaikan tugasnya.</t>
  </si>
  <si>
    <t xml:space="preserve">Ever / never</t>
  </si>
  <si>
    <t xml:space="preserve">Ever dalam pertanyaan pengalaman berarti pernah; never berarti belum/tidak pernah. Untuk pola ini gunakan have/has + past participle.</t>
  </si>
  <si>
    <t xml:space="preserve">Have you ever built an app? = Pernah membuat aplikasi?</t>
  </si>
  <si>
    <t xml:space="preserve">For / since</t>
  </si>
  <si>
    <t xml:space="preserve">Dalam present perfect, for menyatakan durasi; since titik awal. Jangan gunakan since untuk jumlah durasi.</t>
  </si>
  <si>
    <t xml:space="preserve">I have lived here for two years, since 2024. = Sudah dua tahun, sejak 2024.</t>
  </si>
  <si>
    <t xml:space="preserve">To + verb untuk tujuan</t>
  </si>
  <si>
    <t xml:space="preserve">To + kata kerja dasar dapat menjelaskan tujuan, yaitu untuk melakukan sesuatu. Bedakan dari to sebagai preposition di pola lain.</t>
  </si>
  <si>
    <t xml:space="preserve">I study English to read documentation. = Saya belajar Inggris untuk membaca dokumentasi.</t>
  </si>
  <si>
    <t xml:space="preserve">Pendapat &amp; alasan</t>
  </si>
  <si>
    <t xml:space="preserve">I think memperkenalkan pendapat; because memberi alasan. I agree/I disagree menunjukkan persetujuan atau perbedaan dengan sopan.</t>
  </si>
  <si>
    <t xml:space="preserve">I think this design is clear because it is simple. = Menurut saya desain ini jelas karena sederhana.</t>
  </si>
  <si>
    <t xml:space="preserve">Gist, scanning &amp; detail</t>
  </si>
  <si>
    <t xml:space="preserve">Gist adalah gagasan umum; scanning mencari informasi tertentu; detail adalah fakta spesifik. Baca untuk tujuan tertentu sebelum menerjemahkan kata satu per satu.</t>
  </si>
  <si>
    <t xml:space="preserve">Gist: teks tentang pekerjaan. Detail: wawancara hari Senin pukul 10.</t>
  </si>
  <si>
    <t xml:space="preserve">Listening &amp; dictation</t>
  </si>
  <si>
    <t xml:space="preserve">Listening melatih pemahaman ujaran. Dictation adalah menuliskan yang didengar lalu membandingkan dengan transkrip. Tidak harus memahami semua kata sekaligus.</t>
  </si>
  <si>
    <t xml:space="preserve">Dengar satu kalimat pendek, tulis, lalu cek kata yang terlewat.</t>
  </si>
  <si>
    <t xml:space="preserve">Shadowing &amp; intelligibility</t>
  </si>
  <si>
    <t xml:space="preserve">Shadowing ialah menirukan ujaran segera setelah pembicara. Intelligibility berarti ucapan dapat dipahami; tidak perlu meniru aksen secara sempurna.</t>
  </si>
  <si>
    <t xml:space="preserve">Putar satu kalimat → jeda → tirukan → rekam → bandingkan.</t>
  </si>
  <si>
    <t xml:space="preserve">Active recall &amp; spaced review</t>
  </si>
  <si>
    <t xml:space="preserve">Active recall berarti mencoba mengingat tanpa melihat catatan. Spaced review adalah mengulang materi pada jeda berbeda; ulangi kesalahan lebih sering.</t>
  </si>
  <si>
    <t xml:space="preserve">Tutup catatan, sebutkan lima kata kemarin, kemudian periksa jawabannya.</t>
  </si>
  <si>
    <t xml:space="preserve">Email / pesan singkat</t>
  </si>
  <si>
    <t xml:space="preserve">Pesan efektif menyebut tujuan, detail penting, dan tindakan yang diharapkan. Email lebih formal dapat memakai sapaan dan penutup yang sopan.</t>
  </si>
  <si>
    <t xml:space="preserve">Hi Ana, could you check the page? Thank you. = Hai Ana, bisa cek halamannya? Terima kasih.</t>
  </si>
  <si>
    <t xml:space="preserve">Profil profesional</t>
  </si>
  <si>
    <t xml:space="preserve">Profil profesional merangkum peran, keterampilan, dan pengalaman relevan. Pilih informasi benar; bedakan kemampuan nyata dari target belajar.</t>
  </si>
  <si>
    <t xml:space="preserve">I build websites with React. = Saya membuat situs web menggunakan React.</t>
  </si>
  <si>
    <t xml:space="preserve">Clarification</t>
  </si>
  <si>
    <t xml:space="preserve">Clarification berarti meminta atau memberikan penjelasan agar tidak salah paham. Ulangi inti pesan dan konfirmasikan bagian yang belum jelas.</t>
  </si>
  <si>
    <t xml:space="preserve">Do you mean the login page? = Maksudmu halaman login?</t>
  </si>
  <si>
    <t xml:space="preserve">Evaluasi diri</t>
  </si>
  <si>
    <t xml:space="preserve">Rubrik adalah kriteria penilaian yang sama dari waktu ke waktu. Nilai latihan ini hanya alat belajar, bukan skor TOEFL atau sertifikasi CEFR.</t>
  </si>
  <si>
    <t xml:space="preserve">Bandingkan rekaman awal dan akhir: apakah pesan lebih lengkap dan mudah dipahami?</t>
  </si>
  <si>
    <t xml:space="preserve">SUMBER BELAJAR</t>
  </si>
  <si>
    <t xml:space="preserve">Tautan langsung ke pelajaran. Halaman diperiksa 6 September 2026; pemutaran video dapat dipengaruhi jaringan/wilayah.</t>
  </si>
  <si>
    <t xml:space="preserve">ID</t>
  </si>
  <si>
    <t xml:space="preserve">Judul halaman</t>
  </si>
  <si>
    <t xml:space="preserve">Penerbit</t>
  </si>
  <si>
    <t xml:space="preserve">Jenis</t>
  </si>
  <si>
    <t xml:space="preserve">URL langsung</t>
  </si>
  <si>
    <t xml:space="preserve">Tanggal cek</t>
  </si>
  <si>
    <t xml:space="preserve">Cara akses / batasan</t>
  </si>
  <si>
    <t xml:space="preserve">V01</t>
  </si>
  <si>
    <t xml:space="preserve">VOA Learning English</t>
  </si>
  <si>
    <t xml:space="preserve">Video + transkrip</t>
  </si>
  <si>
    <t xml:space="preserve">Buka video utama atau Conversation. Transkrip/latihan ada di halaman yang sama; jika player gagal, coba tautan unduhan yang tersedia.</t>
  </si>
  <si>
    <t xml:space="preserve">V02</t>
  </si>
  <si>
    <t xml:space="preserve">V03</t>
  </si>
  <si>
    <t xml:space="preserve">V04</t>
  </si>
  <si>
    <t xml:space="preserve">V05</t>
  </si>
  <si>
    <t xml:space="preserve">V06</t>
  </si>
  <si>
    <t xml:space="preserve">V07</t>
  </si>
  <si>
    <t xml:space="preserve">V08</t>
  </si>
  <si>
    <t xml:space="preserve">V09</t>
  </si>
  <si>
    <t xml:space="preserve">V10</t>
  </si>
  <si>
    <t xml:space="preserve">V11</t>
  </si>
  <si>
    <t xml:space="preserve">V12</t>
  </si>
  <si>
    <t xml:space="preserve">V13</t>
  </si>
  <si>
    <t xml:space="preserve">Lesson 13: Happy Birthday, William Shakespeare!</t>
  </si>
  <si>
    <t xml:space="preserve">https://learningenglish.voanews.com/a/lets-learn-english-lesson-13-happy-birthday-william-shakespeare/3312239.html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</si>
  <si>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</si>
  <si>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</si>
  <si>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</si>
  <si>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</si>
  <si>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</si>
  <si>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</si>
  <si>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</si>
  <si>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</si>
  <si>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</si>
  <si>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</si>
  <si>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</si>
  <si>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</si>
  <si>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</si>
  <si>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</si>
  <si>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</si>
  <si>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</si>
  <si>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</si>
  <si>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Lesson 31: Take Me Out to the Ball Game</t>
  </si>
  <si>
    <t xml:space="preserve">https://learningenglish.voanews.com/a/lets-learn-english-lesson-31-take-me-out-to-the-ball-game/3535235.html</t>
  </si>
  <si>
    <t xml:space="preserve">V32</t>
  </si>
  <si>
    <t xml:space="preserve">Lesson 32: Welcome to the Treehouse!</t>
  </si>
  <si>
    <t xml:space="preserve">https://learningenglish.voanews.com/a/lets-learn-english-lesson-32-welcome-treehouse/3547306.html</t>
  </si>
  <si>
    <t xml:space="preserve">V33</t>
  </si>
  <si>
    <t xml:space="preserve">Lesson 33: Learning America's Sport</t>
  </si>
  <si>
    <t xml:space="preserve">https://learningenglish.voanews.com/a/lesson-33-learning-americas-sport/3555047.html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</si>
  <si>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</si>
  <si>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</si>
  <si>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</si>
  <si>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</si>
  <si>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</si>
  <si>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</si>
  <si>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Lesson 39: It’s Unbelievable!</t>
  </si>
  <si>
    <t xml:space="preserve">https://learningenglish.voanews.com/a/lets-learn-english-lesson-39-its-unbelieveable/3598920.html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</si>
  <si>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</si>
  <si>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</si>
  <si>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</si>
  <si>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</si>
  <si>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</si>
  <si>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</si>
  <si>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Lesson 45: This Land is Your Land</t>
  </si>
  <si>
    <t xml:space="preserve">https://learningenglish.voanews.com/a/lesson-45-this-land-is-your-land/3710209.html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</si>
  <si>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</si>
  <si>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</si>
  <si>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</si>
  <si>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</si>
  <si>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</si>
  <si>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</si>
  <si>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</si>
  <si>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G01</t>
  </si>
  <si>
    <t xml:space="preserve">British Council LearnEnglish</t>
  </si>
  <si>
    <t xml:space="preserve">Artikel grammar</t>
  </si>
  <si>
    <t xml:space="preserve">Gunakan artikel/teks dan latihan free resources. Kelas berbayar/promosi bukan bagian rencana. Baca satu bagian kecil dahulu jika sulit.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</si>
  <si>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</si>
  <si>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</si>
  <si>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</si>
  <si>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</si>
  <si>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</si>
  <si>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</si>
  <si>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</si>
  <si>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</si>
  <si>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</si>
  <si>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</si>
  <si>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</si>
  <si>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G13</t>
  </si>
  <si>
    <t xml:space="preserve">R01</t>
  </si>
  <si>
    <t xml:space="preserve">Bacaan + latihan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</si>
  <si>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</si>
  <si>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</si>
  <si>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</si>
  <si>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</si>
  <si>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</si>
  <si>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</si>
  <si>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</si>
  <si>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</si>
  <si>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</si>
  <si>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</si>
  <si>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</si>
  <si>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</si>
  <si>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</si>
  <si>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</si>
  <si>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</si>
  <si>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</si>
  <si>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X01</t>
  </si>
  <si>
    <t xml:space="preserve">X02</t>
  </si>
  <si>
    <t xml:space="preserve">X03</t>
  </si>
  <si>
    <t xml:space="preserve">X04</t>
  </si>
  <si>
    <t xml:space="preserve">X05</t>
  </si>
  <si>
    <t xml:space="preserve">X06</t>
  </si>
  <si>
    <t xml:space="preserve">X07</t>
  </si>
  <si>
    <t xml:space="preserve">EVALUASI / BUKTI KEMAJUAN</t>
  </si>
  <si>
    <t xml:space="preserve">20 checkpoint belajar. Nilai diisi sendiri; bukan skor TOEFL, sertifikat, atau penetapan level CEFR.</t>
  </si>
  <si>
    <t xml:space="preserve">Cara menilai: setiap aspek 0–5; isi kelima aspek agar total muncul. Satu poin per kriteria terpenuhi.</t>
  </si>
  <si>
    <t xml:space="preserve">Reading</t>
  </si>
  <si>
    <t xml:space="preserve">Ambil 5 fakta dari bacaan hari itu. 1 poin per fakta tepat setelah dicek ke teks. Jangan melihat jawaban saat mencoba.</t>
  </si>
  <si>
    <t xml:space="preserve">Listening</t>
  </si>
  <si>
    <t xml:space="preserve">Catat 5 informasi/frasa dari video sebelum membaca transkrip. 1 poin per informasi tepat setelah dicek.</t>
  </si>
  <si>
    <t xml:space="preserve">1 poin untuk masing-masing: tugas terpenuhi; gagasan jelas; urutan runtut; pola target mayoritas tepat; ejaan/tanda baca tidak mengganggu.</t>
  </si>
  <si>
    <t xml:space="preserve">1 poin untuk masing-masing: tugas terpenuhi; dapat dipahami; memakai pola target; urutan jelas; tidak bergantung penuh pada naskah.</t>
  </si>
  <si>
    <t xml:space="preserve">Recall</t>
  </si>
  <si>
    <t xml:space="preserve">Pilih 5 kata/pola target. Tanpa catatan, jelaskan arti atau buat contoh benar. 1 poin per jawaban benar.</t>
  </si>
  <si>
    <t xml:space="preserve">Aturan lanjut</t>
  </si>
  <si>
    <t xml:space="preserve">Ambang 70% adalah pilihan latihan, bukan standar resmi. Di bawah ambang: ulangi dua topik terlemah sebelum materi berikutnya.</t>
  </si>
  <si>
    <t xml:space="preserve">Saat tertinggal</t>
  </si>
  <si>
    <t xml:space="preserve">Tetap ikuti urutan Day, bukan mengejar kalender. Satu Day boleh dibagi dua sesi; tanggal aktual diisi pada Tracker.</t>
  </si>
  <si>
    <t xml:space="preserve">Fokus checkpoint</t>
  </si>
  <si>
    <t xml:space="preserve">Reading 0–5</t>
  </si>
  <si>
    <t xml:space="preserve">Listening 0–5</t>
  </si>
  <si>
    <t xml:space="preserve">Writing 0–5</t>
  </si>
  <si>
    <t xml:space="preserve">Speaking 0–5</t>
  </si>
  <si>
    <t xml:space="preserve">Recall 0–5</t>
  </si>
  <si>
    <t xml:space="preserve">Langkah berikutnya</t>
  </si>
  <si>
    <t xml:space="preserve">Catatan / bukti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</si>
</sst>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0%"/>
    <numFmt numFmtId="167" formatCode="0.0"/>
    <numFmt numFmtId="168" formatCode="0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3"/>
      <color rgb="FFFFFFFF"/>
      <name val="Aptos Display"/>
      <family val="0"/>
      <charset val="1"/>
    </font>
    <font>
      <sz val="10"/>
      <color rgb="FF5B7180"/>
      <name val="Aptos"/>
      <family val="0"/>
      <charset val="1"/>
    </font>
    <font>
      <sz val="11"/>
      <color rgb="FF243C4A"/>
      <name val="Aptos"/>
      <family val="0"/>
      <charset val="1"/>
    </font>
    <font>
      <sz val="11"/>
      <color rgb="FF1759A6"/>
      <name val="Aptos"/>
      <family val="0"/>
      <charset val="1"/>
    </font>
    <font>
      <b val="true"/>
      <sz val="10"/>
      <color rgb="FF5B7180"/>
      <name val="Aptos"/>
      <family val="0"/>
      <charset val="1"/>
    </font>
    <font>
      <b val="true"/>
      <sz val="27"/>
      <color rgb="FF147D79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1"/>
      <color rgb="FF243C4A"/>
      <name val="Aptos"/>
      <family val="0"/>
      <charset val="1"/>
    </font>
    <font>
      <sz val="10"/>
      <color rgb="FF72551D"/>
      <name val="Aptos"/>
      <family val="0"/>
      <charset val="1"/>
    </font>
    <font>
      <b val="true"/>
      <sz val="18"/>
      <color rgb="FF1759A6"/>
      <name val="Aptos"/>
      <family val="0"/>
      <charset val="1"/>
    </font>
    <font>
      <sz val="10"/>
      <color rgb="FF087F8C"/>
      <name val="Aptos"/>
      <family val="0"/>
      <charset val="1"/>
    </font>
    <font>
      <sz val="11"/>
      <color rgb="FF087F8C"/>
      <name val="Apto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42D3A"/>
        <bgColor rgb="FF243C4A"/>
      </patternFill>
    </fill>
    <fill>
      <patternFill patternType="solid">
        <fgColor rgb="FFEAF2FF"/>
        <bgColor rgb="FFE9F6F2"/>
      </patternFill>
    </fill>
    <fill>
      <patternFill patternType="solid">
        <fgColor rgb="FFE9F6F2"/>
        <bgColor rgb="FFEAF2FF"/>
      </patternFill>
    </fill>
    <fill>
      <patternFill patternType="solid">
        <fgColor rgb="FF147D79"/>
        <bgColor rgb="FF087F8C"/>
      </patternFill>
    </fill>
    <fill>
      <patternFill patternType="solid">
        <fgColor rgb="FFF5F8FA"/>
        <bgColor rgb="FFE9F6F2"/>
      </patternFill>
    </fill>
    <fill>
      <patternFill patternType="solid">
        <fgColor rgb="FFFFFFFF"/>
        <bgColor rgb="FFF5F8FA"/>
      </patternFill>
    </fill>
    <fill>
      <patternFill patternType="solid">
        <fgColor rgb="FFFFF3D6"/>
        <bgColor rgb="FFF5F8FA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7">
    <dxf>
      <fill>
        <patternFill patternType="solid">
          <fgColor rgb="FF147D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C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1759A6"/>
          <bgColor rgb="FF000000"/>
        </patternFill>
      </fill>
    </dxf>
    <dxf>
      <font>
        <color rgb="FF146650"/>
      </font>
      <fill>
        <patternFill>
          <bgColor rgb="FFE9F6F2"/>
        </patternFill>
      </fill>
    </dxf>
    <dxf>
      <font>
        <b val="1"/>
        <color rgb="FF146650"/>
      </font>
      <fill>
        <patternFill>
          <bgColor rgb="FFE9F6F2"/>
        </patternFill>
      </fill>
    </dxf>
    <dxf>
      <font>
        <color rgb="FF855F12"/>
      </font>
      <fill>
        <patternFill>
          <bgColor rgb="FFFFF3D6"/>
        </patternFill>
      </fill>
    </dxf>
    <dxf>
      <fill>
        <patternFill patternType="solid">
          <fgColor rgb="FF087F8C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0" type="wholeTable"/>
      <tableStyleElement dxfId="11" type="firstColumnStripe"/>
      <tableStyleElement dxfId="12" type="firstRowStripe"/>
      <tableStyleElement dxfId="13" type="lastColumn"/>
      <tableStyleElement dxfId="14" type="firstColumn"/>
      <tableStyleElement dxfId="15" type="headerRow"/>
      <tableStyleElement dxfId="16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650"/>
      <rgbColor rgb="FF000080"/>
      <rgbColor rgb="FF855F12"/>
      <rgbColor rgb="FF800080"/>
      <rgbColor rgb="FF087F8C"/>
      <rgbColor rgb="FFC0C0C0"/>
      <rgbColor rgb="FF808080"/>
      <rgbColor rgb="FF9999FF"/>
      <rgbColor rgb="FF993366"/>
      <rgbColor rgb="FFFFF3D6"/>
      <rgbColor rgb="FFE9F6F2"/>
      <rgbColor rgb="FF660066"/>
      <rgbColor rgb="FFFF8080"/>
      <rgbColor rgb="FF1759A6"/>
      <rgbColor rgb="FFCCCCFF"/>
      <rgbColor rgb="FF000080"/>
      <rgbColor rgb="FFFF00FF"/>
      <rgbColor rgb="FFFFFF00"/>
      <rgbColor rgb="FF00FFFF"/>
      <rgbColor rgb="FF800080"/>
      <rgbColor rgb="FF800000"/>
      <rgbColor rgb="FF147D79"/>
      <rgbColor rgb="FF0000FF"/>
      <rgbColor rgb="FF00CCFF"/>
      <rgbColor rgb="FFEAF2FF"/>
      <rgbColor rgb="FFF5F8FA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B7180"/>
      <rgbColor rgb="FF969696"/>
      <rgbColor rgb="FF142D3A"/>
      <rgbColor rgb="FF339966"/>
      <rgbColor rgb="FF003300"/>
      <rgbColor rgb="FF333300"/>
      <rgbColor rgb="FF72551D"/>
      <rgbColor rgb="FF993366"/>
      <rgbColor rgb="FF156082"/>
      <rgbColor rgb="FF243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eckpointBelajar" displayName="CheckpointBelajar" ref="A15:J35" headerRowCount="1" totalsRowCount="0" totalsRowShown="0">
  <tableColumns count="10">
    <tableColumn id="1" name="Day"/>
    <tableColumn id="2" name="Fokus checkpoint"/>
    <tableColumn id="3" name="Reading 0–5"/>
    <tableColumn id="4" name="Listening 0–5"/>
    <tableColumn id="5" name="Writing 0–5"/>
    <tableColumn id="6" name="Speaking 0–5"/>
    <tableColumn id="7" name="Recall 0–5"/>
    <tableColumn id="8" name="Total"/>
    <tableColumn id="9" name="Langkah berikutnya"/>
    <tableColumn id="10" name="Catatan / bukt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ftarSumber" displayName="DaftarSumber" ref="A5:G93" headerRowCount="1" totalsRowCount="0" totalsRowShown="0">
  <tableColumns count="7">
    <tableColumn id="1" name="ID"/>
    <tableColumn id="2" name="Judul halaman"/>
    <tableColumn id="3" name="Penerbit"/>
    <tableColumn id="4" name="Jenis"/>
    <tableColumn id="5" name="URL langsung"/>
    <tableColumn id="6" name="Tanggal cek"/>
    <tableColumn id="7" name="Cara akses / batas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amusKonsep" displayName="KamusKonsep" ref="A5:F63" headerRowCount="1" totalsRowCount="0" totalsRowShown="0">
  <tableColumns count="6">
    <tableColumn id="1" name="ID konsep"/>
    <tableColumn id="2" name="Istilah / pola"/>
    <tableColumn id="3" name="Pengertian sederhana"/>
    <tableColumn id="4" name="Contoh dan arti"/>
    <tableColumn id="5" name="URL pendamping"/>
    <tableColumn id="6" name="Level pemakai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ncanaHarian" displayName="RencanaHarian" ref="A5:T125" headerRowCount="1" totalsRowCount="0" totalsRowShown="0">
  <tableColumns count="20">
    <tableColumn id="1" name="Day"/>
    <tableColumn id="2" name="Bulan"/>
    <tableColumn id="3" name="Jenis sesi"/>
    <tableColumn id="4" name="Topik"/>
    <tableColumn id="5" name="Target hari ini"/>
    <tableColumn id="6" name="ID konsep"/>
    <tableColumn id="7" name="Pengertian (Indonesia)"/>
    <tableColumn id="8" name="Contoh + arti"/>
    <tableColumn id="9" name="Kosakata / review"/>
    <tableColumn id="10" name="Judul bacaan"/>
    <tableColumn id="11" name="URL bacaan"/>
    <tableColumn id="12" name="Tugas baca · 10 menit"/>
    <tableColumn id="13" name="Judul video"/>
    <tableColumn id="14" name="URL video"/>
    <tableColumn id="15" name="Tugas video · 15 menit"/>
    <tableColumn id="16" name="Speaking · 10 menit"/>
    <tableColumn id="17" name="Writing · 10 menit"/>
    <tableColumn id="18" name="Kriteria selesai"/>
    <tableColumn id="19" name="Target menit"/>
    <tableColumn id="20" name="Pengulangan · 10 men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ckerBelajar" displayName="TrackerBelajar" ref="A5:Q125" headerRowCount="1" totalsRowCount="0" totalsRowShown="0">
  <tableColumns count="17">
    <tableColumn id="1" name="Day"/>
    <tableColumn id="2" name="Tanggal rencana"/>
    <tableColumn id="3" name="Topik"/>
    <tableColumn id="4" name="Kata / review"/>
    <tableColumn id="5" name="Baca"/>
    <tableColumn id="6" name="Video"/>
    <tableColumn id="7" name="Speaking"/>
    <tableColumn id="8" name="Writing"/>
    <tableColumn id="9" name="Progres"/>
    <tableColumn id="10" name="Status otomatis"/>
    <tableColumn id="11" name="Target menit"/>
    <tableColumn id="12" name="Menit aktual"/>
    <tableColumn id="13" name="Paham 1–5"/>
    <tableColumn id="14" name="Tanggal selesai"/>
    <tableColumn id="15" name="Catatan / kata sulit"/>
    <tableColumn id="16" name="Bukti / lokasi rekaman"/>
    <tableColumn id="17" name="Perlu diulang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17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7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32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26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2</v>
      </c>
      <c r="B5" s="4"/>
      <c r="C5" s="5" t="n">
        <v>46272</v>
      </c>
      <c r="D5" s="5"/>
      <c r="E5" s="4" t="s">
        <v>3</v>
      </c>
      <c r="F5" s="4"/>
      <c r="G5" s="4" t="n">
        <f aca="false">ROWS(Tracker!A6:A125)</f>
        <v>120</v>
      </c>
      <c r="H5" s="4"/>
    </row>
    <row r="6" customFormat="false" ht="30" hidden="false" customHeight="true" outlineLevel="0" collapsed="false">
      <c r="A6" s="4" t="s">
        <v>4</v>
      </c>
      <c r="B6" s="4"/>
      <c r="C6" s="6" t="n">
        <f aca="false">C5+G5-1</f>
        <v>46391</v>
      </c>
      <c r="D6" s="6"/>
      <c r="E6" s="4" t="s">
        <v>5</v>
      </c>
      <c r="F6" s="4"/>
      <c r="G6" s="7" t="n">
        <v>55</v>
      </c>
      <c r="H6" s="7"/>
    </row>
    <row r="7" customFormat="false" ht="30" hidden="false" customHeight="true" outlineLevel="0" collapsed="false">
      <c r="A7" s="4" t="s">
        <v>6</v>
      </c>
      <c r="B7" s="4"/>
      <c r="C7" s="8" t="n">
        <v>0.7</v>
      </c>
      <c r="D7" s="8"/>
      <c r="E7" s="4" t="s">
        <v>7</v>
      </c>
      <c r="F7" s="4"/>
      <c r="G7" s="7" t="n">
        <v>2</v>
      </c>
      <c r="H7" s="7"/>
    </row>
    <row r="8" customFormat="false" ht="30" hidden="false" customHeight="true" outlineLevel="0" collapsed="false">
      <c r="A8" s="4" t="s">
        <v>8</v>
      </c>
      <c r="B8" s="4"/>
      <c r="C8" s="9" t="n">
        <f aca="false">SUM(Tracker!K6:K125)/60</f>
        <v>110</v>
      </c>
      <c r="D8" s="9"/>
      <c r="E8" s="4" t="s">
        <v>9</v>
      </c>
      <c r="F8" s="4"/>
      <c r="G8" s="4" t="n">
        <v>5</v>
      </c>
      <c r="H8" s="4"/>
    </row>
    <row r="9" customFormat="false" ht="26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26" hidden="false" customHeight="true" outlineLevel="0" collapsed="false">
      <c r="A10" s="10" t="s">
        <v>10</v>
      </c>
      <c r="B10" s="10"/>
      <c r="C10" s="10" t="s">
        <v>11</v>
      </c>
      <c r="D10" s="10"/>
      <c r="E10" s="10" t="s">
        <v>12</v>
      </c>
      <c r="F10" s="10"/>
      <c r="G10" s="10" t="s">
        <v>13</v>
      </c>
      <c r="H10" s="10"/>
    </row>
    <row r="11" customFormat="false" ht="43" hidden="false" customHeight="true" outlineLevel="0" collapsed="false">
      <c r="A11" s="11" t="n">
        <f aca="false">COUNTIF(Tracker!J6:J125,"Selesai")</f>
        <v>0</v>
      </c>
      <c r="B11" s="11"/>
      <c r="C11" s="12" t="n">
        <f aca="false">A11/G5</f>
        <v>0</v>
      </c>
      <c r="D11" s="12"/>
      <c r="E11" s="13" t="n">
        <f aca="false">SUM(Tracker!L6:L125)/60</f>
        <v>0</v>
      </c>
      <c r="F11" s="13"/>
      <c r="G11" s="11" t="n">
        <f aca="false">COUNTIF(Tracker!Q6:Q125,"Ya")</f>
        <v>0</v>
      </c>
      <c r="H11" s="11"/>
    </row>
    <row r="12" customFormat="false" ht="26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26" hidden="false" customHeight="true" outlineLevel="0" collapsed="false">
      <c r="A13" s="14" t="s">
        <v>14</v>
      </c>
      <c r="B13" s="14"/>
      <c r="C13" s="14"/>
      <c r="D13" s="14"/>
      <c r="E13" s="14"/>
      <c r="F13" s="14"/>
      <c r="G13" s="14"/>
      <c r="H13" s="14"/>
    </row>
    <row r="14" customFormat="false" ht="35" hidden="false" customHeight="true" outlineLevel="0" collapsed="false">
      <c r="A14" s="14" t="s">
        <v>15</v>
      </c>
      <c r="B14" s="14" t="s">
        <v>16</v>
      </c>
      <c r="C14" s="14" t="s">
        <v>17</v>
      </c>
      <c r="D14" s="14" t="s">
        <v>18</v>
      </c>
      <c r="E14" s="14" t="s">
        <v>19</v>
      </c>
      <c r="F14" s="14" t="s">
        <v>20</v>
      </c>
      <c r="G14" s="14" t="s">
        <v>21</v>
      </c>
      <c r="H14" s="14" t="s">
        <v>22</v>
      </c>
    </row>
    <row r="15" customFormat="false" ht="31" hidden="false" customHeight="true" outlineLevel="0" collapsed="false">
      <c r="A15" s="3" t="n">
        <v>1</v>
      </c>
      <c r="B15" s="3" t="n">
        <v>1</v>
      </c>
      <c r="C15" s="3" t="n">
        <v>30</v>
      </c>
      <c r="D15" s="3" t="n">
        <f aca="false">COUNTIF(Tracker!J6:J35,"Selesai")</f>
        <v>0</v>
      </c>
      <c r="E15" s="3" t="n">
        <f aca="false">ROWS(Tracker!A6:A35)</f>
        <v>30</v>
      </c>
      <c r="F15" s="15" t="n">
        <f aca="false">D15/E15</f>
        <v>0</v>
      </c>
      <c r="G15" s="16" t="n">
        <f aca="false">SUM(Tracker!L6:L35)/60</f>
        <v>0</v>
      </c>
      <c r="H15" s="3" t="n">
        <f aca="false">COUNT(Evaluasi!H16:H20)</f>
        <v>0</v>
      </c>
    </row>
    <row r="16" customFormat="false" ht="31" hidden="false" customHeight="true" outlineLevel="0" collapsed="false">
      <c r="A16" s="3" t="n">
        <v>2</v>
      </c>
      <c r="B16" s="3" t="n">
        <v>31</v>
      </c>
      <c r="C16" s="3" t="n">
        <v>60</v>
      </c>
      <c r="D16" s="3" t="n">
        <f aca="false">COUNTIF(Tracker!J36:J65,"Selesai")</f>
        <v>0</v>
      </c>
      <c r="E16" s="3" t="n">
        <f aca="false">ROWS(Tracker!A36:A65)</f>
        <v>30</v>
      </c>
      <c r="F16" s="15" t="n">
        <f aca="false">D16/E16</f>
        <v>0</v>
      </c>
      <c r="G16" s="16" t="n">
        <f aca="false">SUM(Tracker!L36:L65)/60</f>
        <v>0</v>
      </c>
      <c r="H16" s="3" t="n">
        <f aca="false">COUNT(Evaluasi!H21:H25)</f>
        <v>0</v>
      </c>
    </row>
    <row r="17" customFormat="false" ht="31" hidden="false" customHeight="true" outlineLevel="0" collapsed="false">
      <c r="A17" s="3" t="n">
        <v>3</v>
      </c>
      <c r="B17" s="3" t="n">
        <v>61</v>
      </c>
      <c r="C17" s="3" t="n">
        <v>90</v>
      </c>
      <c r="D17" s="3" t="n">
        <f aca="false">COUNTIF(Tracker!J66:J95,"Selesai")</f>
        <v>0</v>
      </c>
      <c r="E17" s="3" t="n">
        <f aca="false">ROWS(Tracker!A66:A95)</f>
        <v>30</v>
      </c>
      <c r="F17" s="15" t="n">
        <f aca="false">D17/E17</f>
        <v>0</v>
      </c>
      <c r="G17" s="16" t="n">
        <f aca="false">SUM(Tracker!L66:L95)/60</f>
        <v>0</v>
      </c>
      <c r="H17" s="3" t="n">
        <f aca="false">COUNT(Evaluasi!H26:H30)</f>
        <v>0</v>
      </c>
    </row>
    <row r="18" customFormat="false" ht="31" hidden="false" customHeight="true" outlineLevel="0" collapsed="false">
      <c r="A18" s="3" t="n">
        <v>4</v>
      </c>
      <c r="B18" s="3" t="n">
        <v>91</v>
      </c>
      <c r="C18" s="3" t="n">
        <v>120</v>
      </c>
      <c r="D18" s="3" t="n">
        <f aca="false">COUNTIF(Tracker!J96:J125,"Selesai")</f>
        <v>0</v>
      </c>
      <c r="E18" s="3" t="n">
        <f aca="false">ROWS(Tracker!A96:A125)</f>
        <v>30</v>
      </c>
      <c r="F18" s="15" t="n">
        <f aca="false">D18/E18</f>
        <v>0</v>
      </c>
      <c r="G18" s="16" t="n">
        <f aca="false">SUM(Tracker!L96:L125)/60</f>
        <v>0</v>
      </c>
      <c r="H18" s="3" t="n">
        <f aca="false">COUNT(Evaluasi!H31:H35)</f>
        <v>0</v>
      </c>
    </row>
    <row r="19" customFormat="false" ht="26" hidden="false" customHeight="tru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26" hidden="false" customHeight="true" outlineLevel="0" collapsed="false">
      <c r="A20" s="14" t="s">
        <v>23</v>
      </c>
      <c r="B20" s="14"/>
      <c r="C20" s="14"/>
      <c r="D20" s="14"/>
      <c r="E20" s="14"/>
      <c r="F20" s="14"/>
      <c r="G20" s="14"/>
      <c r="H20" s="14"/>
    </row>
    <row r="21" customFormat="false" ht="52" hidden="false" customHeight="true" outlineLevel="0" collapsed="false">
      <c r="A21" s="17" t="s">
        <v>24</v>
      </c>
      <c r="B21" s="17"/>
      <c r="C21" s="18" t="s">
        <v>25</v>
      </c>
      <c r="D21" s="18"/>
      <c r="E21" s="18"/>
      <c r="F21" s="18"/>
      <c r="G21" s="18"/>
      <c r="H21" s="18"/>
    </row>
    <row r="22" customFormat="false" ht="52" hidden="false" customHeight="true" outlineLevel="0" collapsed="false">
      <c r="A22" s="19" t="s">
        <v>26</v>
      </c>
      <c r="B22" s="19"/>
      <c r="C22" s="20" t="s">
        <v>27</v>
      </c>
      <c r="D22" s="20"/>
      <c r="E22" s="20"/>
      <c r="F22" s="20"/>
      <c r="G22" s="20"/>
      <c r="H22" s="20"/>
    </row>
    <row r="23" customFormat="false" ht="52" hidden="false" customHeight="true" outlineLevel="0" collapsed="false">
      <c r="A23" s="17" t="s">
        <v>28</v>
      </c>
      <c r="B23" s="17"/>
      <c r="C23" s="18" t="s">
        <v>29</v>
      </c>
      <c r="D23" s="18"/>
      <c r="E23" s="18"/>
      <c r="F23" s="18"/>
      <c r="G23" s="18"/>
      <c r="H23" s="18"/>
    </row>
    <row r="24" customFormat="false" ht="52" hidden="false" customHeight="true" outlineLevel="0" collapsed="false">
      <c r="A24" s="19" t="s">
        <v>30</v>
      </c>
      <c r="B24" s="19"/>
      <c r="C24" s="20" t="s">
        <v>31</v>
      </c>
      <c r="D24" s="20"/>
      <c r="E24" s="20"/>
      <c r="F24" s="20"/>
      <c r="G24" s="20"/>
      <c r="H24" s="20"/>
    </row>
    <row r="25" customFormat="false" ht="52" hidden="false" customHeight="true" outlineLevel="0" collapsed="false">
      <c r="A25" s="17" t="s">
        <v>32</v>
      </c>
      <c r="B25" s="17"/>
      <c r="C25" s="18" t="s">
        <v>33</v>
      </c>
      <c r="D25" s="18"/>
      <c r="E25" s="18"/>
      <c r="F25" s="18"/>
      <c r="G25" s="18"/>
      <c r="H25" s="18"/>
    </row>
    <row r="26" customFormat="false" ht="52" hidden="false" customHeight="true" outlineLevel="0" collapsed="false">
      <c r="A26" s="19" t="s">
        <v>34</v>
      </c>
      <c r="B26" s="19"/>
      <c r="C26" s="20" t="s">
        <v>35</v>
      </c>
      <c r="D26" s="20"/>
      <c r="E26" s="20"/>
      <c r="F26" s="20"/>
      <c r="G26" s="20"/>
      <c r="H26" s="20"/>
    </row>
    <row r="27" customFormat="false" ht="52" hidden="false" customHeight="true" outlineLevel="0" collapsed="false">
      <c r="A27" s="17" t="s">
        <v>36</v>
      </c>
      <c r="B27" s="17"/>
      <c r="C27" s="18" t="s">
        <v>37</v>
      </c>
      <c r="D27" s="18"/>
      <c r="E27" s="18"/>
      <c r="F27" s="18"/>
      <c r="G27" s="18"/>
      <c r="H27" s="18"/>
    </row>
    <row r="28" customFormat="false" ht="52" hidden="false" customHeight="true" outlineLevel="0" collapsed="false">
      <c r="A28" s="19" t="s">
        <v>38</v>
      </c>
      <c r="B28" s="19"/>
      <c r="C28" s="20" t="s">
        <v>39</v>
      </c>
      <c r="D28" s="20"/>
      <c r="E28" s="20"/>
      <c r="F28" s="20"/>
      <c r="G28" s="20"/>
      <c r="H28" s="20"/>
    </row>
    <row r="29" customFormat="false" ht="52" hidden="false" customHeight="true" outlineLevel="0" collapsed="false">
      <c r="A29" s="17" t="s">
        <v>40</v>
      </c>
      <c r="B29" s="17"/>
      <c r="C29" s="18" t="s">
        <v>41</v>
      </c>
      <c r="D29" s="18"/>
      <c r="E29" s="18"/>
      <c r="F29" s="18"/>
      <c r="G29" s="18"/>
      <c r="H29" s="18"/>
    </row>
    <row r="30" customFormat="false" ht="52" hidden="false" customHeight="true" outlineLevel="0" collapsed="false">
      <c r="A30" s="19" t="s">
        <v>42</v>
      </c>
      <c r="B30" s="19"/>
      <c r="C30" s="20" t="s">
        <v>43</v>
      </c>
      <c r="D30" s="20"/>
      <c r="E30" s="20"/>
      <c r="F30" s="20"/>
      <c r="G30" s="20"/>
      <c r="H30" s="20"/>
    </row>
    <row r="31" customFormat="false" ht="26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26" hidden="false" customHeight="true" outlineLevel="0" collapsed="false">
      <c r="A32" s="14" t="s">
        <v>44</v>
      </c>
      <c r="B32" s="14"/>
      <c r="C32" s="14"/>
      <c r="D32" s="14"/>
      <c r="E32" s="14"/>
      <c r="F32" s="14"/>
      <c r="G32" s="14"/>
      <c r="H32" s="14"/>
    </row>
    <row r="33" customFormat="false" ht="36" hidden="false" customHeight="true" outlineLevel="0" collapsed="false">
      <c r="A33" s="4" t="s">
        <v>45</v>
      </c>
      <c r="B33" s="4"/>
      <c r="C33" s="4"/>
      <c r="D33" s="4"/>
      <c r="E33" s="4"/>
      <c r="F33" s="4"/>
      <c r="G33" s="4"/>
      <c r="H33" s="4"/>
    </row>
    <row r="34" customFormat="false" ht="36" hidden="false" customHeight="true" outlineLevel="0" collapsed="false">
      <c r="A34" s="4" t="s">
        <v>46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4" t="s">
        <v>47</v>
      </c>
      <c r="B35" s="4"/>
      <c r="C35" s="4"/>
      <c r="D35" s="4"/>
      <c r="E35" s="4"/>
      <c r="F35" s="4"/>
      <c r="G35" s="4"/>
      <c r="H35" s="4"/>
    </row>
    <row r="36" customFormat="false" ht="36" hidden="false" customHeight="true" outlineLevel="0" collapsed="false">
      <c r="A36" s="4" t="s">
        <v>48</v>
      </c>
      <c r="B36" s="4"/>
      <c r="C36" s="4"/>
      <c r="D36" s="4"/>
      <c r="E36" s="4"/>
      <c r="F36" s="4"/>
      <c r="G36" s="4"/>
      <c r="H36" s="4"/>
    </row>
    <row r="37" customFormat="false" ht="26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26" hidden="false" customHeight="true" outlineLevel="0" collapsed="false">
      <c r="A38" s="21" t="s">
        <v>49</v>
      </c>
      <c r="B38" s="21"/>
      <c r="C38" s="21"/>
      <c r="D38" s="21"/>
      <c r="E38" s="21"/>
      <c r="F38" s="21"/>
      <c r="G38" s="21"/>
      <c r="H38" s="21"/>
    </row>
    <row r="39" customFormat="false" ht="26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</row>
  </sheetData>
  <mergeCells count="54">
    <mergeCell ref="A1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B10"/>
    <mergeCell ref="C10:D10"/>
    <mergeCell ref="E10:F10"/>
    <mergeCell ref="G10:H10"/>
    <mergeCell ref="A11:B11"/>
    <mergeCell ref="C11:D11"/>
    <mergeCell ref="E11:F11"/>
    <mergeCell ref="G11:H11"/>
    <mergeCell ref="A13:H13"/>
    <mergeCell ref="A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2:H32"/>
    <mergeCell ref="A33:H33"/>
    <mergeCell ref="A34:H34"/>
    <mergeCell ref="A35:H35"/>
    <mergeCell ref="A36:H36"/>
    <mergeCell ref="A38:H39"/>
  </mergeCells>
  <conditionalFormatting sqref="F15:F18">
    <cfRule type="dataBar" priority="2">
      <dataBar showValue="1" minLength="10" maxLength="90">
        <cfvo type="num" val="0"/>
        <cfvo type="num" val="1"/>
        <color rgb="FF147D79"/>
      </dataBar>
      <extLst>
        <ext xmlns:x14="http://schemas.microsoft.com/office/spreadsheetml/2009/9/main" uri="{B025F937-C7B1-47D3-B67F-A62EFF666E3E}">
          <x14:id>{12E0ED7D-40A6-4A19-87C7-C797DC4E7A74}</x14:id>
        </ext>
      </extLst>
    </cfRule>
  </conditionalFormatting>
  <dataValidations count="2">
    <dataValidation allowBlank="false" errorStyle="stop" operator="between" showDropDown="false" showErrorMessage="false" showInputMessage="false" sqref="G6" type="whole">
      <formula1>45</formula1>
      <formula2>60</formula2>
    </dataValidation>
    <dataValidation allowBlank="false" errorStyle="stop" operator="between" showDropDown="false" showErrorMessage="false" showInputMessage="false" sqref="G7" type="whole">
      <formula1>1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E0ED7D-40A6-4A19-87C7-C797DC4E7A7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47D79"/>
              <x14:axisColor rgb="FF000000"/>
            </x14:dataBar>
          </x14:cfRule>
          <xm:sqref>F15:F18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8" min="5" style="0" width="14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42"/>
    <col collapsed="false" customWidth="true" hidden="false" outlineLevel="0" max="16" min="16" style="0" width="45"/>
    <col collapsed="false" customWidth="true" hidden="false" outlineLevel="0" max="17" min="17" style="0" width="19"/>
  </cols>
  <sheetData>
    <row r="1" customFormat="false" ht="2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3"/>
      <c r="L1" s="3"/>
      <c r="M1" s="3"/>
      <c r="N1" s="3"/>
      <c r="O1" s="3"/>
      <c r="P1" s="3"/>
      <c r="Q1" s="3"/>
    </row>
    <row r="2" customFormat="false" ht="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</row>
    <row r="3" customFormat="false" ht="32" hidden="false" customHeight="true" outlineLevel="0" collapsed="false">
      <c r="A3" s="2" t="s">
        <v>51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</row>
    <row r="4" customFormat="false" ht="26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35" hidden="false" customHeight="true" outlineLevel="0" collapsed="false">
      <c r="A5" s="14" t="s">
        <v>52</v>
      </c>
      <c r="B5" s="14" t="s">
        <v>53</v>
      </c>
      <c r="C5" s="14" t="s">
        <v>54</v>
      </c>
      <c r="D5" s="14" t="s">
        <v>55</v>
      </c>
      <c r="E5" s="14" t="s">
        <v>56</v>
      </c>
      <c r="F5" s="14" t="s">
        <v>57</v>
      </c>
      <c r="G5" s="14" t="s">
        <v>58</v>
      </c>
      <c r="H5" s="14" t="s">
        <v>59</v>
      </c>
      <c r="I5" s="14" t="s">
        <v>20</v>
      </c>
      <c r="J5" s="14" t="s">
        <v>60</v>
      </c>
      <c r="K5" s="14" t="s">
        <v>61</v>
      </c>
      <c r="L5" s="14" t="s">
        <v>62</v>
      </c>
      <c r="M5" s="14" t="s">
        <v>63</v>
      </c>
      <c r="N5" s="14" t="s">
        <v>64</v>
      </c>
      <c r="O5" s="14" t="s">
        <v>65</v>
      </c>
      <c r="P5" s="14" t="s">
        <v>66</v>
      </c>
      <c r="Q5" s="14" t="s">
        <v>67</v>
      </c>
    </row>
    <row r="6" customFormat="false" ht="56" hidden="false" customHeight="true" outlineLevel="0" collapsed="false">
      <c r="A6" s="22" t="n">
        <v>1</v>
      </c>
      <c r="B6" s="23" t="n">
        <f aca="false">Mulai!$C$5+A6-1</f>
        <v>46272</v>
      </c>
      <c r="C6" s="22" t="s">
        <v>68</v>
      </c>
      <c r="D6" s="24" t="s">
        <v>69</v>
      </c>
      <c r="E6" s="24" t="s">
        <v>69</v>
      </c>
      <c r="F6" s="24" t="s">
        <v>69</v>
      </c>
      <c r="G6" s="24" t="s">
        <v>69</v>
      </c>
      <c r="H6" s="24" t="s">
        <v>69</v>
      </c>
      <c r="I6" s="25" t="n">
        <f aca="false">COUNTIF(D6:H6,"Selesai")/COLUMNS(D6:H6)</f>
        <v>0</v>
      </c>
      <c r="J6" s="22" t="str">
        <f aca="false">IF(I6=1,"Selesai",IF(I6=0,"Belum mulai","Berjalan"))</f>
        <v>Belum mulai</v>
      </c>
      <c r="K6" s="26" t="n">
        <f aca="false">'Rencana 120 Hari'!S6</f>
        <v>55</v>
      </c>
      <c r="L6" s="27"/>
      <c r="M6" s="27"/>
      <c r="N6" s="28"/>
      <c r="O6" s="24"/>
      <c r="P6" s="24"/>
      <c r="Q6" s="22" t="str">
        <f aca="false">IF(M6="","",IF(M6&lt;=Mulai!$G$7,"Ya","Tidak"))</f>
        <v/>
      </c>
    </row>
    <row r="7" customFormat="false" ht="56" hidden="false" customHeight="true" outlineLevel="0" collapsed="false">
      <c r="A7" s="22" t="n">
        <v>2</v>
      </c>
      <c r="B7" s="23" t="n">
        <f aca="false">Mulai!$C$5+A7-1</f>
        <v>46273</v>
      </c>
      <c r="C7" s="22" t="s">
        <v>70</v>
      </c>
      <c r="D7" s="24" t="s">
        <v>69</v>
      </c>
      <c r="E7" s="24" t="s">
        <v>69</v>
      </c>
      <c r="F7" s="24" t="s">
        <v>69</v>
      </c>
      <c r="G7" s="24" t="s">
        <v>69</v>
      </c>
      <c r="H7" s="24" t="s">
        <v>69</v>
      </c>
      <c r="I7" s="25" t="n">
        <f aca="false">COUNTIF(D7:H7,"Selesai")/COLUMNS(D7:H7)</f>
        <v>0</v>
      </c>
      <c r="J7" s="22" t="str">
        <f aca="false">IF(I7=1,"Selesai",IF(I7=0,"Belum mulai","Berjalan"))</f>
        <v>Belum mulai</v>
      </c>
      <c r="K7" s="26" t="n">
        <f aca="false">'Rencana 120 Hari'!S7</f>
        <v>55</v>
      </c>
      <c r="L7" s="27"/>
      <c r="M7" s="27"/>
      <c r="N7" s="28"/>
      <c r="O7" s="24"/>
      <c r="P7" s="24"/>
      <c r="Q7" s="22" t="str">
        <f aca="false">IF(M7="","",IF(M7&lt;=Mulai!$G$7,"Ya","Tidak"))</f>
        <v/>
      </c>
    </row>
    <row r="8" customFormat="false" ht="56" hidden="false" customHeight="true" outlineLevel="0" collapsed="false">
      <c r="A8" s="22" t="n">
        <v>3</v>
      </c>
      <c r="B8" s="23" t="n">
        <f aca="false">Mulai!$C$5+A8-1</f>
        <v>46274</v>
      </c>
      <c r="C8" s="22" t="s">
        <v>71</v>
      </c>
      <c r="D8" s="24" t="s">
        <v>69</v>
      </c>
      <c r="E8" s="24" t="s">
        <v>69</v>
      </c>
      <c r="F8" s="24" t="s">
        <v>69</v>
      </c>
      <c r="G8" s="24" t="s">
        <v>69</v>
      </c>
      <c r="H8" s="24" t="s">
        <v>69</v>
      </c>
      <c r="I8" s="25" t="n">
        <f aca="false">COUNTIF(D8:H8,"Selesai")/COLUMNS(D8:H8)</f>
        <v>0</v>
      </c>
      <c r="J8" s="22" t="str">
        <f aca="false">IF(I8=1,"Selesai",IF(I8=0,"Belum mulai","Berjalan"))</f>
        <v>Belum mulai</v>
      </c>
      <c r="K8" s="26" t="n">
        <f aca="false">'Rencana 120 Hari'!S8</f>
        <v>55</v>
      </c>
      <c r="L8" s="27"/>
      <c r="M8" s="27"/>
      <c r="N8" s="28"/>
      <c r="O8" s="24"/>
      <c r="P8" s="24"/>
      <c r="Q8" s="22" t="str">
        <f aca="false">IF(M8="","",IF(M8&lt;=Mulai!$G$7,"Ya","Tidak"))</f>
        <v/>
      </c>
    </row>
    <row r="9" customFormat="false" ht="56" hidden="false" customHeight="true" outlineLevel="0" collapsed="false">
      <c r="A9" s="22" t="n">
        <v>4</v>
      </c>
      <c r="B9" s="23" t="n">
        <f aca="false">Mulai!$C$5+A9-1</f>
        <v>46275</v>
      </c>
      <c r="C9" s="22" t="s">
        <v>72</v>
      </c>
      <c r="D9" s="24" t="s">
        <v>69</v>
      </c>
      <c r="E9" s="24" t="s">
        <v>69</v>
      </c>
      <c r="F9" s="24" t="s">
        <v>69</v>
      </c>
      <c r="G9" s="24" t="s">
        <v>69</v>
      </c>
      <c r="H9" s="24" t="s">
        <v>69</v>
      </c>
      <c r="I9" s="25" t="n">
        <f aca="false">COUNTIF(D9:H9,"Selesai")/COLUMNS(D9:H9)</f>
        <v>0</v>
      </c>
      <c r="J9" s="22" t="str">
        <f aca="false">IF(I9=1,"Selesai",IF(I9=0,"Belum mulai","Berjalan"))</f>
        <v>Belum mulai</v>
      </c>
      <c r="K9" s="26" t="n">
        <f aca="false">'Rencana 120 Hari'!S9</f>
        <v>55</v>
      </c>
      <c r="L9" s="27"/>
      <c r="M9" s="27"/>
      <c r="N9" s="28"/>
      <c r="O9" s="24"/>
      <c r="P9" s="24"/>
      <c r="Q9" s="22" t="str">
        <f aca="false">IF(M9="","",IF(M9&lt;=Mulai!$G$7,"Ya","Tidak"))</f>
        <v/>
      </c>
    </row>
    <row r="10" customFormat="false" ht="56" hidden="false" customHeight="true" outlineLevel="0" collapsed="false">
      <c r="A10" s="22" t="n">
        <v>5</v>
      </c>
      <c r="B10" s="23" t="n">
        <f aca="false">Mulai!$C$5+A10-1</f>
        <v>46276</v>
      </c>
      <c r="C10" s="22" t="s">
        <v>73</v>
      </c>
      <c r="D10" s="24" t="s">
        <v>69</v>
      </c>
      <c r="E10" s="24" t="s">
        <v>69</v>
      </c>
      <c r="F10" s="24" t="s">
        <v>69</v>
      </c>
      <c r="G10" s="24" t="s">
        <v>69</v>
      </c>
      <c r="H10" s="24" t="s">
        <v>69</v>
      </c>
      <c r="I10" s="25" t="n">
        <f aca="false">COUNTIF(D10:H10,"Selesai")/COLUMNS(D10:H10)</f>
        <v>0</v>
      </c>
      <c r="J10" s="22" t="str">
        <f aca="false">IF(I10=1,"Selesai",IF(I10=0,"Belum mulai","Berjalan"))</f>
        <v>Belum mulai</v>
      </c>
      <c r="K10" s="26" t="n">
        <f aca="false">'Rencana 120 Hari'!S10</f>
        <v>55</v>
      </c>
      <c r="L10" s="27"/>
      <c r="M10" s="27"/>
      <c r="N10" s="28"/>
      <c r="O10" s="24"/>
      <c r="P10" s="24"/>
      <c r="Q10" s="22" t="str">
        <f aca="false">IF(M10="","",IF(M10&lt;=Mulai!$G$7,"Ya","Tidak"))</f>
        <v/>
      </c>
    </row>
    <row r="11" customFormat="false" ht="56" hidden="false" customHeight="true" outlineLevel="0" collapsed="false">
      <c r="A11" s="22" t="n">
        <v>6</v>
      </c>
      <c r="B11" s="23" t="n">
        <f aca="false">Mulai!$C$5+A11-1</f>
        <v>46277</v>
      </c>
      <c r="C11" s="22" t="s">
        <v>74</v>
      </c>
      <c r="D11" s="24" t="s">
        <v>69</v>
      </c>
      <c r="E11" s="24" t="s">
        <v>69</v>
      </c>
      <c r="F11" s="24" t="s">
        <v>69</v>
      </c>
      <c r="G11" s="24" t="s">
        <v>69</v>
      </c>
      <c r="H11" s="24" t="s">
        <v>69</v>
      </c>
      <c r="I11" s="25" t="n">
        <f aca="false">COUNTIF(D11:H11,"Selesai")/COLUMNS(D11:H11)</f>
        <v>0</v>
      </c>
      <c r="J11" s="22" t="str">
        <f aca="false">IF(I11=1,"Selesai",IF(I11=0,"Belum mulai","Berjalan"))</f>
        <v>Belum mulai</v>
      </c>
      <c r="K11" s="26" t="n">
        <f aca="false">'Rencana 120 Hari'!S11</f>
        <v>55</v>
      </c>
      <c r="L11" s="27"/>
      <c r="M11" s="27"/>
      <c r="N11" s="28"/>
      <c r="O11" s="24"/>
      <c r="P11" s="24"/>
      <c r="Q11" s="22" t="str">
        <f aca="false">IF(M11="","",IF(M11&lt;=Mulai!$G$7,"Ya","Tidak"))</f>
        <v/>
      </c>
    </row>
    <row r="12" customFormat="false" ht="56" hidden="false" customHeight="true" outlineLevel="0" collapsed="false">
      <c r="A12" s="22" t="n">
        <v>7</v>
      </c>
      <c r="B12" s="23" t="n">
        <f aca="false">Mulai!$C$5+A12-1</f>
        <v>46278</v>
      </c>
      <c r="C12" s="22" t="s">
        <v>75</v>
      </c>
      <c r="D12" s="24" t="s">
        <v>69</v>
      </c>
      <c r="E12" s="24" t="s">
        <v>69</v>
      </c>
      <c r="F12" s="24" t="s">
        <v>69</v>
      </c>
      <c r="G12" s="24" t="s">
        <v>69</v>
      </c>
      <c r="H12" s="24" t="s">
        <v>69</v>
      </c>
      <c r="I12" s="25" t="n">
        <f aca="false">COUNTIF(D12:H12,"Selesai")/COLUMNS(D12:H12)</f>
        <v>0</v>
      </c>
      <c r="J12" s="22" t="str">
        <f aca="false">IF(I12=1,"Selesai",IF(I12=0,"Belum mulai","Berjalan"))</f>
        <v>Belum mulai</v>
      </c>
      <c r="K12" s="26" t="n">
        <f aca="false">'Rencana 120 Hari'!S12</f>
        <v>55</v>
      </c>
      <c r="L12" s="27"/>
      <c r="M12" s="27"/>
      <c r="N12" s="28"/>
      <c r="O12" s="24"/>
      <c r="P12" s="24"/>
      <c r="Q12" s="22" t="str">
        <f aca="false">IF(M12="","",IF(M12&lt;=Mulai!$G$7,"Ya","Tidak"))</f>
        <v/>
      </c>
    </row>
    <row r="13" customFormat="false" ht="56" hidden="false" customHeight="true" outlineLevel="0" collapsed="false">
      <c r="A13" s="22" t="n">
        <v>8</v>
      </c>
      <c r="B13" s="23" t="n">
        <f aca="false">Mulai!$C$5+A13-1</f>
        <v>46279</v>
      </c>
      <c r="C13" s="22" t="s">
        <v>76</v>
      </c>
      <c r="D13" s="24" t="s">
        <v>69</v>
      </c>
      <c r="E13" s="24" t="s">
        <v>69</v>
      </c>
      <c r="F13" s="24" t="s">
        <v>69</v>
      </c>
      <c r="G13" s="24" t="s">
        <v>69</v>
      </c>
      <c r="H13" s="24" t="s">
        <v>69</v>
      </c>
      <c r="I13" s="25" t="n">
        <f aca="false">COUNTIF(D13:H13,"Selesai")/COLUMNS(D13:H13)</f>
        <v>0</v>
      </c>
      <c r="J13" s="22" t="str">
        <f aca="false">IF(I13=1,"Selesai",IF(I13=0,"Belum mulai","Berjalan"))</f>
        <v>Belum mulai</v>
      </c>
      <c r="K13" s="26" t="n">
        <f aca="false">'Rencana 120 Hari'!S13</f>
        <v>55</v>
      </c>
      <c r="L13" s="27"/>
      <c r="M13" s="27"/>
      <c r="N13" s="28"/>
      <c r="O13" s="24"/>
      <c r="P13" s="24"/>
      <c r="Q13" s="22" t="str">
        <f aca="false">IF(M13="","",IF(M13&lt;=Mulai!$G$7,"Ya","Tidak"))</f>
        <v/>
      </c>
    </row>
    <row r="14" customFormat="false" ht="56" hidden="false" customHeight="true" outlineLevel="0" collapsed="false">
      <c r="A14" s="22" t="n">
        <v>9</v>
      </c>
      <c r="B14" s="23" t="n">
        <f aca="false">Mulai!$C$5+A14-1</f>
        <v>46280</v>
      </c>
      <c r="C14" s="22" t="s">
        <v>77</v>
      </c>
      <c r="D14" s="24" t="s">
        <v>69</v>
      </c>
      <c r="E14" s="24" t="s">
        <v>69</v>
      </c>
      <c r="F14" s="24" t="s">
        <v>69</v>
      </c>
      <c r="G14" s="24" t="s">
        <v>69</v>
      </c>
      <c r="H14" s="24" t="s">
        <v>69</v>
      </c>
      <c r="I14" s="25" t="n">
        <f aca="false">COUNTIF(D14:H14,"Selesai")/COLUMNS(D14:H14)</f>
        <v>0</v>
      </c>
      <c r="J14" s="22" t="str">
        <f aca="false">IF(I14=1,"Selesai",IF(I14=0,"Belum mulai","Berjalan"))</f>
        <v>Belum mulai</v>
      </c>
      <c r="K14" s="26" t="n">
        <f aca="false">'Rencana 120 Hari'!S14</f>
        <v>55</v>
      </c>
      <c r="L14" s="27"/>
      <c r="M14" s="27"/>
      <c r="N14" s="28"/>
      <c r="O14" s="24"/>
      <c r="P14" s="24"/>
      <c r="Q14" s="22" t="str">
        <f aca="false">IF(M14="","",IF(M14&lt;=Mulai!$G$7,"Ya","Tidak"))</f>
        <v/>
      </c>
    </row>
    <row r="15" customFormat="false" ht="56" hidden="false" customHeight="true" outlineLevel="0" collapsed="false">
      <c r="A15" s="22" t="n">
        <v>10</v>
      </c>
      <c r="B15" s="23" t="n">
        <f aca="false">Mulai!$C$5+A15-1</f>
        <v>46281</v>
      </c>
      <c r="C15" s="22" t="s">
        <v>78</v>
      </c>
      <c r="D15" s="24" t="s">
        <v>69</v>
      </c>
      <c r="E15" s="24" t="s">
        <v>69</v>
      </c>
      <c r="F15" s="24" t="s">
        <v>69</v>
      </c>
      <c r="G15" s="24" t="s">
        <v>69</v>
      </c>
      <c r="H15" s="24" t="s">
        <v>69</v>
      </c>
      <c r="I15" s="25" t="n">
        <f aca="false">COUNTIF(D15:H15,"Selesai")/COLUMNS(D15:H15)</f>
        <v>0</v>
      </c>
      <c r="J15" s="22" t="str">
        <f aca="false">IF(I15=1,"Selesai",IF(I15=0,"Belum mulai","Berjalan"))</f>
        <v>Belum mulai</v>
      </c>
      <c r="K15" s="26" t="n">
        <f aca="false">'Rencana 120 Hari'!S15</f>
        <v>55</v>
      </c>
      <c r="L15" s="27"/>
      <c r="M15" s="27"/>
      <c r="N15" s="28"/>
      <c r="O15" s="24"/>
      <c r="P15" s="24"/>
      <c r="Q15" s="22" t="str">
        <f aca="false">IF(M15="","",IF(M15&lt;=Mulai!$G$7,"Ya","Tidak"))</f>
        <v/>
      </c>
    </row>
    <row r="16" customFormat="false" ht="56" hidden="false" customHeight="true" outlineLevel="0" collapsed="false">
      <c r="A16" s="22" t="n">
        <v>11</v>
      </c>
      <c r="B16" s="23" t="n">
        <f aca="false">Mulai!$C$5+A16-1</f>
        <v>46282</v>
      </c>
      <c r="C16" s="22" t="s">
        <v>79</v>
      </c>
      <c r="D16" s="24" t="s">
        <v>69</v>
      </c>
      <c r="E16" s="24" t="s">
        <v>69</v>
      </c>
      <c r="F16" s="24" t="s">
        <v>69</v>
      </c>
      <c r="G16" s="24" t="s">
        <v>69</v>
      </c>
      <c r="H16" s="24" t="s">
        <v>69</v>
      </c>
      <c r="I16" s="25" t="n">
        <f aca="false">COUNTIF(D16:H16,"Selesai")/COLUMNS(D16:H16)</f>
        <v>0</v>
      </c>
      <c r="J16" s="22" t="str">
        <f aca="false">IF(I16=1,"Selesai",IF(I16=0,"Belum mulai","Berjalan"))</f>
        <v>Belum mulai</v>
      </c>
      <c r="K16" s="26" t="n">
        <f aca="false">'Rencana 120 Hari'!S16</f>
        <v>55</v>
      </c>
      <c r="L16" s="27"/>
      <c r="M16" s="27"/>
      <c r="N16" s="28"/>
      <c r="O16" s="24"/>
      <c r="P16" s="24"/>
      <c r="Q16" s="22" t="str">
        <f aca="false">IF(M16="","",IF(M16&lt;=Mulai!$G$7,"Ya","Tidak"))</f>
        <v/>
      </c>
    </row>
    <row r="17" customFormat="false" ht="56" hidden="false" customHeight="true" outlineLevel="0" collapsed="false">
      <c r="A17" s="22" t="n">
        <v>12</v>
      </c>
      <c r="B17" s="23" t="n">
        <f aca="false">Mulai!$C$5+A17-1</f>
        <v>46283</v>
      </c>
      <c r="C17" s="22" t="s">
        <v>80</v>
      </c>
      <c r="D17" s="24" t="s">
        <v>69</v>
      </c>
      <c r="E17" s="24" t="s">
        <v>69</v>
      </c>
      <c r="F17" s="24" t="s">
        <v>69</v>
      </c>
      <c r="G17" s="24" t="s">
        <v>69</v>
      </c>
      <c r="H17" s="24" t="s">
        <v>69</v>
      </c>
      <c r="I17" s="25" t="n">
        <f aca="false">COUNTIF(D17:H17,"Selesai")/COLUMNS(D17:H17)</f>
        <v>0</v>
      </c>
      <c r="J17" s="22" t="str">
        <f aca="false">IF(I17=1,"Selesai",IF(I17=0,"Belum mulai","Berjalan"))</f>
        <v>Belum mulai</v>
      </c>
      <c r="K17" s="26" t="n">
        <f aca="false">'Rencana 120 Hari'!S17</f>
        <v>55</v>
      </c>
      <c r="L17" s="27"/>
      <c r="M17" s="27"/>
      <c r="N17" s="28"/>
      <c r="O17" s="24"/>
      <c r="P17" s="24"/>
      <c r="Q17" s="22" t="str">
        <f aca="false">IF(M17="","",IF(M17&lt;=Mulai!$G$7,"Ya","Tidak"))</f>
        <v/>
      </c>
    </row>
    <row r="18" customFormat="false" ht="56" hidden="false" customHeight="true" outlineLevel="0" collapsed="false">
      <c r="A18" s="22" t="n">
        <v>13</v>
      </c>
      <c r="B18" s="23" t="n">
        <f aca="false">Mulai!$C$5+A18-1</f>
        <v>46284</v>
      </c>
      <c r="C18" s="22" t="s">
        <v>81</v>
      </c>
      <c r="D18" s="24" t="s">
        <v>69</v>
      </c>
      <c r="E18" s="24" t="s">
        <v>69</v>
      </c>
      <c r="F18" s="24" t="s">
        <v>69</v>
      </c>
      <c r="G18" s="24" t="s">
        <v>69</v>
      </c>
      <c r="H18" s="24" t="s">
        <v>69</v>
      </c>
      <c r="I18" s="25" t="n">
        <f aca="false">COUNTIF(D18:H18,"Selesai")/COLUMNS(D18:H18)</f>
        <v>0</v>
      </c>
      <c r="J18" s="22" t="str">
        <f aca="false">IF(I18=1,"Selesai",IF(I18=0,"Belum mulai","Berjalan"))</f>
        <v>Belum mulai</v>
      </c>
      <c r="K18" s="26" t="n">
        <f aca="false">'Rencana 120 Hari'!S18</f>
        <v>55</v>
      </c>
      <c r="L18" s="27"/>
      <c r="M18" s="27"/>
      <c r="N18" s="28"/>
      <c r="O18" s="24"/>
      <c r="P18" s="24"/>
      <c r="Q18" s="22" t="str">
        <f aca="false">IF(M18="","",IF(M18&lt;=Mulai!$G$7,"Ya","Tidak"))</f>
        <v/>
      </c>
    </row>
    <row r="19" customFormat="false" ht="56" hidden="false" customHeight="true" outlineLevel="0" collapsed="false">
      <c r="A19" s="22" t="n">
        <v>14</v>
      </c>
      <c r="B19" s="23" t="n">
        <f aca="false">Mulai!$C$5+A19-1</f>
        <v>46285</v>
      </c>
      <c r="C19" s="22" t="s">
        <v>82</v>
      </c>
      <c r="D19" s="24" t="s">
        <v>69</v>
      </c>
      <c r="E19" s="24" t="s">
        <v>69</v>
      </c>
      <c r="F19" s="24" t="s">
        <v>69</v>
      </c>
      <c r="G19" s="24" t="s">
        <v>69</v>
      </c>
      <c r="H19" s="24" t="s">
        <v>69</v>
      </c>
      <c r="I19" s="25" t="n">
        <f aca="false">COUNTIF(D19:H19,"Selesai")/COLUMNS(D19:H19)</f>
        <v>0</v>
      </c>
      <c r="J19" s="22" t="str">
        <f aca="false">IF(I19=1,"Selesai",IF(I19=0,"Belum mulai","Berjalan"))</f>
        <v>Belum mulai</v>
      </c>
      <c r="K19" s="26" t="n">
        <f aca="false">'Rencana 120 Hari'!S19</f>
        <v>55</v>
      </c>
      <c r="L19" s="27"/>
      <c r="M19" s="27"/>
      <c r="N19" s="28"/>
      <c r="O19" s="24"/>
      <c r="P19" s="24"/>
      <c r="Q19" s="22" t="str">
        <f aca="false">IF(M19="","",IF(M19&lt;=Mulai!$G$7,"Ya","Tidak"))</f>
        <v/>
      </c>
    </row>
    <row r="20" customFormat="false" ht="56" hidden="false" customHeight="true" outlineLevel="0" collapsed="false">
      <c r="A20" s="22" t="n">
        <v>15</v>
      </c>
      <c r="B20" s="23" t="n">
        <f aca="false">Mulai!$C$5+A20-1</f>
        <v>46286</v>
      </c>
      <c r="C20" s="22" t="s">
        <v>83</v>
      </c>
      <c r="D20" s="24" t="s">
        <v>69</v>
      </c>
      <c r="E20" s="24" t="s">
        <v>69</v>
      </c>
      <c r="F20" s="24" t="s">
        <v>69</v>
      </c>
      <c r="G20" s="24" t="s">
        <v>69</v>
      </c>
      <c r="H20" s="24" t="s">
        <v>69</v>
      </c>
      <c r="I20" s="25" t="n">
        <f aca="false">COUNTIF(D20:H20,"Selesai")/COLUMNS(D20:H20)</f>
        <v>0</v>
      </c>
      <c r="J20" s="22" t="str">
        <f aca="false">IF(I20=1,"Selesai",IF(I20=0,"Belum mulai","Berjalan"))</f>
        <v>Belum mulai</v>
      </c>
      <c r="K20" s="26" t="n">
        <f aca="false">'Rencana 120 Hari'!S20</f>
        <v>55</v>
      </c>
      <c r="L20" s="27"/>
      <c r="M20" s="27"/>
      <c r="N20" s="28"/>
      <c r="O20" s="24"/>
      <c r="P20" s="24"/>
      <c r="Q20" s="22" t="str">
        <f aca="false">IF(M20="","",IF(M20&lt;=Mulai!$G$7,"Ya","Tidak"))</f>
        <v/>
      </c>
    </row>
    <row r="21" customFormat="false" ht="56" hidden="false" customHeight="true" outlineLevel="0" collapsed="false">
      <c r="A21" s="22" t="n">
        <v>16</v>
      </c>
      <c r="B21" s="23" t="n">
        <f aca="false">Mulai!$C$5+A21-1</f>
        <v>46287</v>
      </c>
      <c r="C21" s="22" t="s">
        <v>84</v>
      </c>
      <c r="D21" s="24" t="s">
        <v>69</v>
      </c>
      <c r="E21" s="24" t="s">
        <v>69</v>
      </c>
      <c r="F21" s="24" t="s">
        <v>69</v>
      </c>
      <c r="G21" s="24" t="s">
        <v>69</v>
      </c>
      <c r="H21" s="24" t="s">
        <v>69</v>
      </c>
      <c r="I21" s="25" t="n">
        <f aca="false">COUNTIF(D21:H21,"Selesai")/COLUMNS(D21:H21)</f>
        <v>0</v>
      </c>
      <c r="J21" s="22" t="str">
        <f aca="false">IF(I21=1,"Selesai",IF(I21=0,"Belum mulai","Berjalan"))</f>
        <v>Belum mulai</v>
      </c>
      <c r="K21" s="26" t="n">
        <f aca="false">'Rencana 120 Hari'!S21</f>
        <v>55</v>
      </c>
      <c r="L21" s="27"/>
      <c r="M21" s="27"/>
      <c r="N21" s="28"/>
      <c r="O21" s="24"/>
      <c r="P21" s="24"/>
      <c r="Q21" s="22" t="str">
        <f aca="false">IF(M21="","",IF(M21&lt;=Mulai!$G$7,"Ya","Tidak"))</f>
        <v/>
      </c>
    </row>
    <row r="22" customFormat="false" ht="56" hidden="false" customHeight="true" outlineLevel="0" collapsed="false">
      <c r="A22" s="22" t="n">
        <v>17</v>
      </c>
      <c r="B22" s="23" t="n">
        <f aca="false">Mulai!$C$5+A22-1</f>
        <v>46288</v>
      </c>
      <c r="C22" s="22" t="s">
        <v>85</v>
      </c>
      <c r="D22" s="24" t="s">
        <v>69</v>
      </c>
      <c r="E22" s="24" t="s">
        <v>69</v>
      </c>
      <c r="F22" s="24" t="s">
        <v>69</v>
      </c>
      <c r="G22" s="24" t="s">
        <v>69</v>
      </c>
      <c r="H22" s="24" t="s">
        <v>69</v>
      </c>
      <c r="I22" s="25" t="n">
        <f aca="false">COUNTIF(D22:H22,"Selesai")/COLUMNS(D22:H22)</f>
        <v>0</v>
      </c>
      <c r="J22" s="22" t="str">
        <f aca="false">IF(I22=1,"Selesai",IF(I22=0,"Belum mulai","Berjalan"))</f>
        <v>Belum mulai</v>
      </c>
      <c r="K22" s="26" t="n">
        <f aca="false">'Rencana 120 Hari'!S22</f>
        <v>55</v>
      </c>
      <c r="L22" s="27"/>
      <c r="M22" s="27"/>
      <c r="N22" s="28"/>
      <c r="O22" s="24"/>
      <c r="P22" s="24"/>
      <c r="Q22" s="22" t="str">
        <f aca="false">IF(M22="","",IF(M22&lt;=Mulai!$G$7,"Ya","Tidak"))</f>
        <v/>
      </c>
    </row>
    <row r="23" customFormat="false" ht="56" hidden="false" customHeight="true" outlineLevel="0" collapsed="false">
      <c r="A23" s="22" t="n">
        <v>18</v>
      </c>
      <c r="B23" s="23" t="n">
        <f aca="false">Mulai!$C$5+A23-1</f>
        <v>46289</v>
      </c>
      <c r="C23" s="22" t="s">
        <v>86</v>
      </c>
      <c r="D23" s="24" t="s">
        <v>69</v>
      </c>
      <c r="E23" s="24" t="s">
        <v>69</v>
      </c>
      <c r="F23" s="24" t="s">
        <v>69</v>
      </c>
      <c r="G23" s="24" t="s">
        <v>69</v>
      </c>
      <c r="H23" s="24" t="s">
        <v>69</v>
      </c>
      <c r="I23" s="25" t="n">
        <f aca="false">COUNTIF(D23:H23,"Selesai")/COLUMNS(D23:H23)</f>
        <v>0</v>
      </c>
      <c r="J23" s="22" t="str">
        <f aca="false">IF(I23=1,"Selesai",IF(I23=0,"Belum mulai","Berjalan"))</f>
        <v>Belum mulai</v>
      </c>
      <c r="K23" s="26" t="n">
        <f aca="false">'Rencana 120 Hari'!S23</f>
        <v>55</v>
      </c>
      <c r="L23" s="27"/>
      <c r="M23" s="27"/>
      <c r="N23" s="28"/>
      <c r="O23" s="24"/>
      <c r="P23" s="24"/>
      <c r="Q23" s="22" t="str">
        <f aca="false">IF(M23="","",IF(M23&lt;=Mulai!$G$7,"Ya","Tidak"))</f>
        <v/>
      </c>
    </row>
    <row r="24" customFormat="false" ht="56" hidden="false" customHeight="true" outlineLevel="0" collapsed="false">
      <c r="A24" s="22" t="n">
        <v>19</v>
      </c>
      <c r="B24" s="23" t="n">
        <f aca="false">Mulai!$C$5+A24-1</f>
        <v>46290</v>
      </c>
      <c r="C24" s="22" t="s">
        <v>87</v>
      </c>
      <c r="D24" s="24" t="s">
        <v>69</v>
      </c>
      <c r="E24" s="24" t="s">
        <v>69</v>
      </c>
      <c r="F24" s="24" t="s">
        <v>69</v>
      </c>
      <c r="G24" s="24" t="s">
        <v>69</v>
      </c>
      <c r="H24" s="24" t="s">
        <v>69</v>
      </c>
      <c r="I24" s="25" t="n">
        <f aca="false">COUNTIF(D24:H24,"Selesai")/COLUMNS(D24:H24)</f>
        <v>0</v>
      </c>
      <c r="J24" s="22" t="str">
        <f aca="false">IF(I24=1,"Selesai",IF(I24=0,"Belum mulai","Berjalan"))</f>
        <v>Belum mulai</v>
      </c>
      <c r="K24" s="26" t="n">
        <f aca="false">'Rencana 120 Hari'!S24</f>
        <v>55</v>
      </c>
      <c r="L24" s="27"/>
      <c r="M24" s="27"/>
      <c r="N24" s="28"/>
      <c r="O24" s="24"/>
      <c r="P24" s="24"/>
      <c r="Q24" s="22" t="str">
        <f aca="false">IF(M24="","",IF(M24&lt;=Mulai!$G$7,"Ya","Tidak"))</f>
        <v/>
      </c>
    </row>
    <row r="25" customFormat="false" ht="56" hidden="false" customHeight="true" outlineLevel="0" collapsed="false">
      <c r="A25" s="22" t="n">
        <v>20</v>
      </c>
      <c r="B25" s="23" t="n">
        <f aca="false">Mulai!$C$5+A25-1</f>
        <v>46291</v>
      </c>
      <c r="C25" s="22" t="s">
        <v>88</v>
      </c>
      <c r="D25" s="24" t="s">
        <v>69</v>
      </c>
      <c r="E25" s="24" t="s">
        <v>69</v>
      </c>
      <c r="F25" s="24" t="s">
        <v>69</v>
      </c>
      <c r="G25" s="24" t="s">
        <v>69</v>
      </c>
      <c r="H25" s="24" t="s">
        <v>69</v>
      </c>
      <c r="I25" s="25" t="n">
        <f aca="false">COUNTIF(D25:H25,"Selesai")/COLUMNS(D25:H25)</f>
        <v>0</v>
      </c>
      <c r="J25" s="22" t="str">
        <f aca="false">IF(I25=1,"Selesai",IF(I25=0,"Belum mulai","Berjalan"))</f>
        <v>Belum mulai</v>
      </c>
      <c r="K25" s="26" t="n">
        <f aca="false">'Rencana 120 Hari'!S25</f>
        <v>55</v>
      </c>
      <c r="L25" s="27"/>
      <c r="M25" s="27"/>
      <c r="N25" s="28"/>
      <c r="O25" s="24"/>
      <c r="P25" s="24"/>
      <c r="Q25" s="22" t="str">
        <f aca="false">IF(M25="","",IF(M25&lt;=Mulai!$G$7,"Ya","Tidak"))</f>
        <v/>
      </c>
    </row>
    <row r="26" customFormat="false" ht="56" hidden="false" customHeight="true" outlineLevel="0" collapsed="false">
      <c r="A26" s="22" t="n">
        <v>21</v>
      </c>
      <c r="B26" s="23" t="n">
        <f aca="false">Mulai!$C$5+A26-1</f>
        <v>46292</v>
      </c>
      <c r="C26" s="22" t="s">
        <v>89</v>
      </c>
      <c r="D26" s="24" t="s">
        <v>69</v>
      </c>
      <c r="E26" s="24" t="s">
        <v>69</v>
      </c>
      <c r="F26" s="24" t="s">
        <v>69</v>
      </c>
      <c r="G26" s="24" t="s">
        <v>69</v>
      </c>
      <c r="H26" s="24" t="s">
        <v>69</v>
      </c>
      <c r="I26" s="25" t="n">
        <f aca="false">COUNTIF(D26:H26,"Selesai")/COLUMNS(D26:H26)</f>
        <v>0</v>
      </c>
      <c r="J26" s="22" t="str">
        <f aca="false">IF(I26=1,"Selesai",IF(I26=0,"Belum mulai","Berjalan"))</f>
        <v>Belum mulai</v>
      </c>
      <c r="K26" s="26" t="n">
        <f aca="false">'Rencana 120 Hari'!S26</f>
        <v>55</v>
      </c>
      <c r="L26" s="27"/>
      <c r="M26" s="27"/>
      <c r="N26" s="28"/>
      <c r="O26" s="24"/>
      <c r="P26" s="24"/>
      <c r="Q26" s="22" t="str">
        <f aca="false">IF(M26="","",IF(M26&lt;=Mulai!$G$7,"Ya","Tidak"))</f>
        <v/>
      </c>
    </row>
    <row r="27" customFormat="false" ht="56" hidden="false" customHeight="true" outlineLevel="0" collapsed="false">
      <c r="A27" s="22" t="n">
        <v>22</v>
      </c>
      <c r="B27" s="23" t="n">
        <f aca="false">Mulai!$C$5+A27-1</f>
        <v>46293</v>
      </c>
      <c r="C27" s="22" t="s">
        <v>90</v>
      </c>
      <c r="D27" s="24" t="s">
        <v>69</v>
      </c>
      <c r="E27" s="24" t="s">
        <v>69</v>
      </c>
      <c r="F27" s="24" t="s">
        <v>69</v>
      </c>
      <c r="G27" s="24" t="s">
        <v>69</v>
      </c>
      <c r="H27" s="24" t="s">
        <v>69</v>
      </c>
      <c r="I27" s="25" t="n">
        <f aca="false">COUNTIF(D27:H27,"Selesai")/COLUMNS(D27:H27)</f>
        <v>0</v>
      </c>
      <c r="J27" s="22" t="str">
        <f aca="false">IF(I27=1,"Selesai",IF(I27=0,"Belum mulai","Berjalan"))</f>
        <v>Belum mulai</v>
      </c>
      <c r="K27" s="26" t="n">
        <f aca="false">'Rencana 120 Hari'!S27</f>
        <v>55</v>
      </c>
      <c r="L27" s="27"/>
      <c r="M27" s="27"/>
      <c r="N27" s="28"/>
      <c r="O27" s="24"/>
      <c r="P27" s="24"/>
      <c r="Q27" s="22" t="str">
        <f aca="false">IF(M27="","",IF(M27&lt;=Mulai!$G$7,"Ya","Tidak"))</f>
        <v/>
      </c>
    </row>
    <row r="28" customFormat="false" ht="56" hidden="false" customHeight="true" outlineLevel="0" collapsed="false">
      <c r="A28" s="22" t="n">
        <v>23</v>
      </c>
      <c r="B28" s="23" t="n">
        <f aca="false">Mulai!$C$5+A28-1</f>
        <v>46294</v>
      </c>
      <c r="C28" s="22" t="s">
        <v>91</v>
      </c>
      <c r="D28" s="24" t="s">
        <v>69</v>
      </c>
      <c r="E28" s="24" t="s">
        <v>69</v>
      </c>
      <c r="F28" s="24" t="s">
        <v>69</v>
      </c>
      <c r="G28" s="24" t="s">
        <v>69</v>
      </c>
      <c r="H28" s="24" t="s">
        <v>69</v>
      </c>
      <c r="I28" s="25" t="n">
        <f aca="false">COUNTIF(D28:H28,"Selesai")/COLUMNS(D28:H28)</f>
        <v>0</v>
      </c>
      <c r="J28" s="22" t="str">
        <f aca="false">IF(I28=1,"Selesai",IF(I28=0,"Belum mulai","Berjalan"))</f>
        <v>Belum mulai</v>
      </c>
      <c r="K28" s="26" t="n">
        <f aca="false">'Rencana 120 Hari'!S28</f>
        <v>55</v>
      </c>
      <c r="L28" s="27"/>
      <c r="M28" s="27"/>
      <c r="N28" s="28"/>
      <c r="O28" s="24"/>
      <c r="P28" s="24"/>
      <c r="Q28" s="22" t="str">
        <f aca="false">IF(M28="","",IF(M28&lt;=Mulai!$G$7,"Ya","Tidak"))</f>
        <v/>
      </c>
    </row>
    <row r="29" customFormat="false" ht="56" hidden="false" customHeight="true" outlineLevel="0" collapsed="false">
      <c r="A29" s="22" t="n">
        <v>24</v>
      </c>
      <c r="B29" s="23" t="n">
        <f aca="false">Mulai!$C$5+A29-1</f>
        <v>46295</v>
      </c>
      <c r="C29" s="22" t="s">
        <v>92</v>
      </c>
      <c r="D29" s="24" t="s">
        <v>69</v>
      </c>
      <c r="E29" s="24" t="s">
        <v>69</v>
      </c>
      <c r="F29" s="24" t="s">
        <v>69</v>
      </c>
      <c r="G29" s="24" t="s">
        <v>69</v>
      </c>
      <c r="H29" s="24" t="s">
        <v>69</v>
      </c>
      <c r="I29" s="25" t="n">
        <f aca="false">COUNTIF(D29:H29,"Selesai")/COLUMNS(D29:H29)</f>
        <v>0</v>
      </c>
      <c r="J29" s="22" t="str">
        <f aca="false">IF(I29=1,"Selesai",IF(I29=0,"Belum mulai","Berjalan"))</f>
        <v>Belum mulai</v>
      </c>
      <c r="K29" s="26" t="n">
        <f aca="false">'Rencana 120 Hari'!S29</f>
        <v>55</v>
      </c>
      <c r="L29" s="27"/>
      <c r="M29" s="27"/>
      <c r="N29" s="28"/>
      <c r="O29" s="24"/>
      <c r="P29" s="24"/>
      <c r="Q29" s="22" t="str">
        <f aca="false">IF(M29="","",IF(M29&lt;=Mulai!$G$7,"Ya","Tidak"))</f>
        <v/>
      </c>
    </row>
    <row r="30" customFormat="false" ht="56" hidden="false" customHeight="true" outlineLevel="0" collapsed="false">
      <c r="A30" s="22" t="n">
        <v>25</v>
      </c>
      <c r="B30" s="23" t="n">
        <f aca="false">Mulai!$C$5+A30-1</f>
        <v>46296</v>
      </c>
      <c r="C30" s="22" t="s">
        <v>93</v>
      </c>
      <c r="D30" s="24" t="s">
        <v>69</v>
      </c>
      <c r="E30" s="24" t="s">
        <v>69</v>
      </c>
      <c r="F30" s="24" t="s">
        <v>69</v>
      </c>
      <c r="G30" s="24" t="s">
        <v>69</v>
      </c>
      <c r="H30" s="24" t="s">
        <v>69</v>
      </c>
      <c r="I30" s="25" t="n">
        <f aca="false">COUNTIF(D30:H30,"Selesai")/COLUMNS(D30:H30)</f>
        <v>0</v>
      </c>
      <c r="J30" s="22" t="str">
        <f aca="false">IF(I30=1,"Selesai",IF(I30=0,"Belum mulai","Berjalan"))</f>
        <v>Belum mulai</v>
      </c>
      <c r="K30" s="26" t="n">
        <f aca="false">'Rencana 120 Hari'!S30</f>
        <v>55</v>
      </c>
      <c r="L30" s="27"/>
      <c r="M30" s="27"/>
      <c r="N30" s="28"/>
      <c r="O30" s="24"/>
      <c r="P30" s="24"/>
      <c r="Q30" s="22" t="str">
        <f aca="false">IF(M30="","",IF(M30&lt;=Mulai!$G$7,"Ya","Tidak"))</f>
        <v/>
      </c>
    </row>
    <row r="31" customFormat="false" ht="56" hidden="false" customHeight="true" outlineLevel="0" collapsed="false">
      <c r="A31" s="22" t="n">
        <v>26</v>
      </c>
      <c r="B31" s="23" t="n">
        <f aca="false">Mulai!$C$5+A31-1</f>
        <v>46297</v>
      </c>
      <c r="C31" s="22" t="s">
        <v>94</v>
      </c>
      <c r="D31" s="24" t="s">
        <v>69</v>
      </c>
      <c r="E31" s="24" t="s">
        <v>69</v>
      </c>
      <c r="F31" s="24" t="s">
        <v>69</v>
      </c>
      <c r="G31" s="24" t="s">
        <v>69</v>
      </c>
      <c r="H31" s="24" t="s">
        <v>69</v>
      </c>
      <c r="I31" s="25" t="n">
        <f aca="false">COUNTIF(D31:H31,"Selesai")/COLUMNS(D31:H31)</f>
        <v>0</v>
      </c>
      <c r="J31" s="22" t="str">
        <f aca="false">IF(I31=1,"Selesai",IF(I31=0,"Belum mulai","Berjalan"))</f>
        <v>Belum mulai</v>
      </c>
      <c r="K31" s="26" t="n">
        <f aca="false">'Rencana 120 Hari'!S31</f>
        <v>55</v>
      </c>
      <c r="L31" s="27"/>
      <c r="M31" s="27"/>
      <c r="N31" s="28"/>
      <c r="O31" s="24"/>
      <c r="P31" s="24"/>
      <c r="Q31" s="22" t="str">
        <f aca="false">IF(M31="","",IF(M31&lt;=Mulai!$G$7,"Ya","Tidak"))</f>
        <v/>
      </c>
    </row>
    <row r="32" customFormat="false" ht="56" hidden="false" customHeight="true" outlineLevel="0" collapsed="false">
      <c r="A32" s="22" t="n">
        <v>27</v>
      </c>
      <c r="B32" s="23" t="n">
        <f aca="false">Mulai!$C$5+A32-1</f>
        <v>46298</v>
      </c>
      <c r="C32" s="22" t="s">
        <v>95</v>
      </c>
      <c r="D32" s="24" t="s">
        <v>69</v>
      </c>
      <c r="E32" s="24" t="s">
        <v>69</v>
      </c>
      <c r="F32" s="24" t="s">
        <v>69</v>
      </c>
      <c r="G32" s="24" t="s">
        <v>69</v>
      </c>
      <c r="H32" s="24" t="s">
        <v>69</v>
      </c>
      <c r="I32" s="25" t="n">
        <f aca="false">COUNTIF(D32:H32,"Selesai")/COLUMNS(D32:H32)</f>
        <v>0</v>
      </c>
      <c r="J32" s="22" t="str">
        <f aca="false">IF(I32=1,"Selesai",IF(I32=0,"Belum mulai","Berjalan"))</f>
        <v>Belum mulai</v>
      </c>
      <c r="K32" s="26" t="n">
        <f aca="false">'Rencana 120 Hari'!S32</f>
        <v>55</v>
      </c>
      <c r="L32" s="27"/>
      <c r="M32" s="27"/>
      <c r="N32" s="28"/>
      <c r="O32" s="24"/>
      <c r="P32" s="24"/>
      <c r="Q32" s="22" t="str">
        <f aca="false">IF(M32="","",IF(M32&lt;=Mulai!$G$7,"Ya","Tidak"))</f>
        <v/>
      </c>
    </row>
    <row r="33" customFormat="false" ht="56" hidden="false" customHeight="true" outlineLevel="0" collapsed="false">
      <c r="A33" s="22" t="n">
        <v>28</v>
      </c>
      <c r="B33" s="23" t="n">
        <f aca="false">Mulai!$C$5+A33-1</f>
        <v>46299</v>
      </c>
      <c r="C33" s="22" t="s">
        <v>96</v>
      </c>
      <c r="D33" s="24" t="s">
        <v>69</v>
      </c>
      <c r="E33" s="24" t="s">
        <v>69</v>
      </c>
      <c r="F33" s="24" t="s">
        <v>69</v>
      </c>
      <c r="G33" s="24" t="s">
        <v>69</v>
      </c>
      <c r="H33" s="24" t="s">
        <v>69</v>
      </c>
      <c r="I33" s="25" t="n">
        <f aca="false">COUNTIF(D33:H33,"Selesai")/COLUMNS(D33:H33)</f>
        <v>0</v>
      </c>
      <c r="J33" s="22" t="str">
        <f aca="false">IF(I33=1,"Selesai",IF(I33=0,"Belum mulai","Berjalan"))</f>
        <v>Belum mulai</v>
      </c>
      <c r="K33" s="26" t="n">
        <f aca="false">'Rencana 120 Hari'!S33</f>
        <v>55</v>
      </c>
      <c r="L33" s="27"/>
      <c r="M33" s="27"/>
      <c r="N33" s="28"/>
      <c r="O33" s="24"/>
      <c r="P33" s="24"/>
      <c r="Q33" s="22" t="str">
        <f aca="false">IF(M33="","",IF(M33&lt;=Mulai!$G$7,"Ya","Tidak"))</f>
        <v/>
      </c>
    </row>
    <row r="34" customFormat="false" ht="56" hidden="false" customHeight="true" outlineLevel="0" collapsed="false">
      <c r="A34" s="22" t="n">
        <v>29</v>
      </c>
      <c r="B34" s="23" t="n">
        <f aca="false">Mulai!$C$5+A34-1</f>
        <v>46300</v>
      </c>
      <c r="C34" s="22" t="s">
        <v>97</v>
      </c>
      <c r="D34" s="24" t="s">
        <v>69</v>
      </c>
      <c r="E34" s="24" t="s">
        <v>69</v>
      </c>
      <c r="F34" s="24" t="s">
        <v>69</v>
      </c>
      <c r="G34" s="24" t="s">
        <v>69</v>
      </c>
      <c r="H34" s="24" t="s">
        <v>69</v>
      </c>
      <c r="I34" s="25" t="n">
        <f aca="false">COUNTIF(D34:H34,"Selesai")/COLUMNS(D34:H34)</f>
        <v>0</v>
      </c>
      <c r="J34" s="22" t="str">
        <f aca="false">IF(I34=1,"Selesai",IF(I34=0,"Belum mulai","Berjalan"))</f>
        <v>Belum mulai</v>
      </c>
      <c r="K34" s="26" t="n">
        <f aca="false">'Rencana 120 Hari'!S34</f>
        <v>55</v>
      </c>
      <c r="L34" s="27"/>
      <c r="M34" s="27"/>
      <c r="N34" s="28"/>
      <c r="O34" s="24"/>
      <c r="P34" s="24"/>
      <c r="Q34" s="22" t="str">
        <f aca="false">IF(M34="","",IF(M34&lt;=Mulai!$G$7,"Ya","Tidak"))</f>
        <v/>
      </c>
    </row>
    <row r="35" customFormat="false" ht="56" hidden="false" customHeight="true" outlineLevel="0" collapsed="false">
      <c r="A35" s="22" t="n">
        <v>30</v>
      </c>
      <c r="B35" s="23" t="n">
        <f aca="false">Mulai!$C$5+A35-1</f>
        <v>46301</v>
      </c>
      <c r="C35" s="22" t="s">
        <v>98</v>
      </c>
      <c r="D35" s="24" t="s">
        <v>69</v>
      </c>
      <c r="E35" s="24" t="s">
        <v>69</v>
      </c>
      <c r="F35" s="24" t="s">
        <v>69</v>
      </c>
      <c r="G35" s="24" t="s">
        <v>69</v>
      </c>
      <c r="H35" s="24" t="s">
        <v>69</v>
      </c>
      <c r="I35" s="25" t="n">
        <f aca="false">COUNTIF(D35:H35,"Selesai")/COLUMNS(D35:H35)</f>
        <v>0</v>
      </c>
      <c r="J35" s="22" t="str">
        <f aca="false">IF(I35=1,"Selesai",IF(I35=0,"Belum mulai","Berjalan"))</f>
        <v>Belum mulai</v>
      </c>
      <c r="K35" s="26" t="n">
        <f aca="false">'Rencana 120 Hari'!S35</f>
        <v>55</v>
      </c>
      <c r="L35" s="27"/>
      <c r="M35" s="27"/>
      <c r="N35" s="28"/>
      <c r="O35" s="24"/>
      <c r="P35" s="24"/>
      <c r="Q35" s="22" t="str">
        <f aca="false">IF(M35="","",IF(M35&lt;=Mulai!$G$7,"Ya","Tidak"))</f>
        <v/>
      </c>
    </row>
    <row r="36" customFormat="false" ht="56" hidden="false" customHeight="true" outlineLevel="0" collapsed="false">
      <c r="A36" s="22" t="n">
        <v>31</v>
      </c>
      <c r="B36" s="23" t="n">
        <f aca="false">Mulai!$C$5+A36-1</f>
        <v>46302</v>
      </c>
      <c r="C36" s="22" t="s">
        <v>99</v>
      </c>
      <c r="D36" s="24" t="s">
        <v>69</v>
      </c>
      <c r="E36" s="24" t="s">
        <v>69</v>
      </c>
      <c r="F36" s="24" t="s">
        <v>69</v>
      </c>
      <c r="G36" s="24" t="s">
        <v>69</v>
      </c>
      <c r="H36" s="24" t="s">
        <v>69</v>
      </c>
      <c r="I36" s="25" t="n">
        <f aca="false">COUNTIF(D36:H36,"Selesai")/COLUMNS(D36:H36)</f>
        <v>0</v>
      </c>
      <c r="J36" s="22" t="str">
        <f aca="false">IF(I36=1,"Selesai",IF(I36=0,"Belum mulai","Berjalan"))</f>
        <v>Belum mulai</v>
      </c>
      <c r="K36" s="26" t="n">
        <f aca="false">'Rencana 120 Hari'!S36</f>
        <v>55</v>
      </c>
      <c r="L36" s="27"/>
      <c r="M36" s="27"/>
      <c r="N36" s="28"/>
      <c r="O36" s="24"/>
      <c r="P36" s="24"/>
      <c r="Q36" s="22" t="str">
        <f aca="false">IF(M36="","",IF(M36&lt;=Mulai!$G$7,"Ya","Tidak"))</f>
        <v/>
      </c>
    </row>
    <row r="37" customFormat="false" ht="56" hidden="false" customHeight="true" outlineLevel="0" collapsed="false">
      <c r="A37" s="22" t="n">
        <v>32</v>
      </c>
      <c r="B37" s="23" t="n">
        <f aca="false">Mulai!$C$5+A37-1</f>
        <v>46303</v>
      </c>
      <c r="C37" s="22" t="s">
        <v>100</v>
      </c>
      <c r="D37" s="24" t="s">
        <v>69</v>
      </c>
      <c r="E37" s="24" t="s">
        <v>69</v>
      </c>
      <c r="F37" s="24" t="s">
        <v>69</v>
      </c>
      <c r="G37" s="24" t="s">
        <v>69</v>
      </c>
      <c r="H37" s="24" t="s">
        <v>69</v>
      </c>
      <c r="I37" s="25" t="n">
        <f aca="false">COUNTIF(D37:H37,"Selesai")/COLUMNS(D37:H37)</f>
        <v>0</v>
      </c>
      <c r="J37" s="22" t="str">
        <f aca="false">IF(I37=1,"Selesai",IF(I37=0,"Belum mulai","Berjalan"))</f>
        <v>Belum mulai</v>
      </c>
      <c r="K37" s="26" t="n">
        <f aca="false">'Rencana 120 Hari'!S37</f>
        <v>55</v>
      </c>
      <c r="L37" s="27"/>
      <c r="M37" s="27"/>
      <c r="N37" s="28"/>
      <c r="O37" s="24"/>
      <c r="P37" s="24"/>
      <c r="Q37" s="22" t="str">
        <f aca="false">IF(M37="","",IF(M37&lt;=Mulai!$G$7,"Ya","Tidak"))</f>
        <v/>
      </c>
    </row>
    <row r="38" customFormat="false" ht="56" hidden="false" customHeight="true" outlineLevel="0" collapsed="false">
      <c r="A38" s="22" t="n">
        <v>33</v>
      </c>
      <c r="B38" s="23" t="n">
        <f aca="false">Mulai!$C$5+A38-1</f>
        <v>46304</v>
      </c>
      <c r="C38" s="22" t="s">
        <v>101</v>
      </c>
      <c r="D38" s="24" t="s">
        <v>69</v>
      </c>
      <c r="E38" s="24" t="s">
        <v>69</v>
      </c>
      <c r="F38" s="24" t="s">
        <v>69</v>
      </c>
      <c r="G38" s="24" t="s">
        <v>69</v>
      </c>
      <c r="H38" s="24" t="s">
        <v>69</v>
      </c>
      <c r="I38" s="25" t="n">
        <f aca="false">COUNTIF(D38:H38,"Selesai")/COLUMNS(D38:H38)</f>
        <v>0</v>
      </c>
      <c r="J38" s="22" t="str">
        <f aca="false">IF(I38=1,"Selesai",IF(I38=0,"Belum mulai","Berjalan"))</f>
        <v>Belum mulai</v>
      </c>
      <c r="K38" s="26" t="n">
        <f aca="false">'Rencana 120 Hari'!S38</f>
        <v>55</v>
      </c>
      <c r="L38" s="27"/>
      <c r="M38" s="27"/>
      <c r="N38" s="28"/>
      <c r="O38" s="24"/>
      <c r="P38" s="24"/>
      <c r="Q38" s="22" t="str">
        <f aca="false">IF(M38="","",IF(M38&lt;=Mulai!$G$7,"Ya","Tidak"))</f>
        <v/>
      </c>
    </row>
    <row r="39" customFormat="false" ht="56" hidden="false" customHeight="true" outlineLevel="0" collapsed="false">
      <c r="A39" s="22" t="n">
        <v>34</v>
      </c>
      <c r="B39" s="23" t="n">
        <f aca="false">Mulai!$C$5+A39-1</f>
        <v>46305</v>
      </c>
      <c r="C39" s="22" t="s">
        <v>102</v>
      </c>
      <c r="D39" s="24" t="s">
        <v>69</v>
      </c>
      <c r="E39" s="24" t="s">
        <v>69</v>
      </c>
      <c r="F39" s="24" t="s">
        <v>69</v>
      </c>
      <c r="G39" s="24" t="s">
        <v>69</v>
      </c>
      <c r="H39" s="24" t="s">
        <v>69</v>
      </c>
      <c r="I39" s="25" t="n">
        <f aca="false">COUNTIF(D39:H39,"Selesai")/COLUMNS(D39:H39)</f>
        <v>0</v>
      </c>
      <c r="J39" s="22" t="str">
        <f aca="false">IF(I39=1,"Selesai",IF(I39=0,"Belum mulai","Berjalan"))</f>
        <v>Belum mulai</v>
      </c>
      <c r="K39" s="26" t="n">
        <f aca="false">'Rencana 120 Hari'!S39</f>
        <v>55</v>
      </c>
      <c r="L39" s="27"/>
      <c r="M39" s="27"/>
      <c r="N39" s="28"/>
      <c r="O39" s="24"/>
      <c r="P39" s="24"/>
      <c r="Q39" s="22" t="str">
        <f aca="false">IF(M39="","",IF(M39&lt;=Mulai!$G$7,"Ya","Tidak"))</f>
        <v/>
      </c>
    </row>
    <row r="40" customFormat="false" ht="56" hidden="false" customHeight="true" outlineLevel="0" collapsed="false">
      <c r="A40" s="22" t="n">
        <v>35</v>
      </c>
      <c r="B40" s="23" t="n">
        <f aca="false">Mulai!$C$5+A40-1</f>
        <v>46306</v>
      </c>
      <c r="C40" s="22" t="s">
        <v>103</v>
      </c>
      <c r="D40" s="24" t="s">
        <v>69</v>
      </c>
      <c r="E40" s="24" t="s">
        <v>69</v>
      </c>
      <c r="F40" s="24" t="s">
        <v>69</v>
      </c>
      <c r="G40" s="24" t="s">
        <v>69</v>
      </c>
      <c r="H40" s="24" t="s">
        <v>69</v>
      </c>
      <c r="I40" s="25" t="n">
        <f aca="false">COUNTIF(D40:H40,"Selesai")/COLUMNS(D40:H40)</f>
        <v>0</v>
      </c>
      <c r="J40" s="22" t="str">
        <f aca="false">IF(I40=1,"Selesai",IF(I40=0,"Belum mulai","Berjalan"))</f>
        <v>Belum mulai</v>
      </c>
      <c r="K40" s="26" t="n">
        <f aca="false">'Rencana 120 Hari'!S40</f>
        <v>55</v>
      </c>
      <c r="L40" s="27"/>
      <c r="M40" s="27"/>
      <c r="N40" s="28"/>
      <c r="O40" s="24"/>
      <c r="P40" s="24"/>
      <c r="Q40" s="22" t="str">
        <f aca="false">IF(M40="","",IF(M40&lt;=Mulai!$G$7,"Ya","Tidak"))</f>
        <v/>
      </c>
    </row>
    <row r="41" customFormat="false" ht="56" hidden="false" customHeight="true" outlineLevel="0" collapsed="false">
      <c r="A41" s="22" t="n">
        <v>36</v>
      </c>
      <c r="B41" s="23" t="n">
        <f aca="false">Mulai!$C$5+A41-1</f>
        <v>46307</v>
      </c>
      <c r="C41" s="22" t="s">
        <v>104</v>
      </c>
      <c r="D41" s="24" t="s">
        <v>69</v>
      </c>
      <c r="E41" s="24" t="s">
        <v>69</v>
      </c>
      <c r="F41" s="24" t="s">
        <v>69</v>
      </c>
      <c r="G41" s="24" t="s">
        <v>69</v>
      </c>
      <c r="H41" s="24" t="s">
        <v>69</v>
      </c>
      <c r="I41" s="25" t="n">
        <f aca="false">COUNTIF(D41:H41,"Selesai")/COLUMNS(D41:H41)</f>
        <v>0</v>
      </c>
      <c r="J41" s="22" t="str">
        <f aca="false">IF(I41=1,"Selesai",IF(I41=0,"Belum mulai","Berjalan"))</f>
        <v>Belum mulai</v>
      </c>
      <c r="K41" s="26" t="n">
        <f aca="false">'Rencana 120 Hari'!S41</f>
        <v>55</v>
      </c>
      <c r="L41" s="27"/>
      <c r="M41" s="27"/>
      <c r="N41" s="28"/>
      <c r="O41" s="24"/>
      <c r="P41" s="24"/>
      <c r="Q41" s="22" t="str">
        <f aca="false">IF(M41="","",IF(M41&lt;=Mulai!$G$7,"Ya","Tidak"))</f>
        <v/>
      </c>
    </row>
    <row r="42" customFormat="false" ht="56" hidden="false" customHeight="true" outlineLevel="0" collapsed="false">
      <c r="A42" s="22" t="n">
        <v>37</v>
      </c>
      <c r="B42" s="23" t="n">
        <f aca="false">Mulai!$C$5+A42-1</f>
        <v>46308</v>
      </c>
      <c r="C42" s="22" t="s">
        <v>105</v>
      </c>
      <c r="D42" s="24" t="s">
        <v>69</v>
      </c>
      <c r="E42" s="24" t="s">
        <v>69</v>
      </c>
      <c r="F42" s="24" t="s">
        <v>69</v>
      </c>
      <c r="G42" s="24" t="s">
        <v>69</v>
      </c>
      <c r="H42" s="24" t="s">
        <v>69</v>
      </c>
      <c r="I42" s="25" t="n">
        <f aca="false">COUNTIF(D42:H42,"Selesai")/COLUMNS(D42:H42)</f>
        <v>0</v>
      </c>
      <c r="J42" s="22" t="str">
        <f aca="false">IF(I42=1,"Selesai",IF(I42=0,"Belum mulai","Berjalan"))</f>
        <v>Belum mulai</v>
      </c>
      <c r="K42" s="26" t="n">
        <f aca="false">'Rencana 120 Hari'!S42</f>
        <v>55</v>
      </c>
      <c r="L42" s="27"/>
      <c r="M42" s="27"/>
      <c r="N42" s="28"/>
      <c r="O42" s="24"/>
      <c r="P42" s="24"/>
      <c r="Q42" s="22" t="str">
        <f aca="false">IF(M42="","",IF(M42&lt;=Mulai!$G$7,"Ya","Tidak"))</f>
        <v/>
      </c>
    </row>
    <row r="43" customFormat="false" ht="56" hidden="false" customHeight="true" outlineLevel="0" collapsed="false">
      <c r="A43" s="22" t="n">
        <v>38</v>
      </c>
      <c r="B43" s="23" t="n">
        <f aca="false">Mulai!$C$5+A43-1</f>
        <v>46309</v>
      </c>
      <c r="C43" s="22" t="s">
        <v>106</v>
      </c>
      <c r="D43" s="24" t="s">
        <v>69</v>
      </c>
      <c r="E43" s="24" t="s">
        <v>69</v>
      </c>
      <c r="F43" s="24" t="s">
        <v>69</v>
      </c>
      <c r="G43" s="24" t="s">
        <v>69</v>
      </c>
      <c r="H43" s="24" t="s">
        <v>69</v>
      </c>
      <c r="I43" s="25" t="n">
        <f aca="false">COUNTIF(D43:H43,"Selesai")/COLUMNS(D43:H43)</f>
        <v>0</v>
      </c>
      <c r="J43" s="22" t="str">
        <f aca="false">IF(I43=1,"Selesai",IF(I43=0,"Belum mulai","Berjalan"))</f>
        <v>Belum mulai</v>
      </c>
      <c r="K43" s="26" t="n">
        <f aca="false">'Rencana 120 Hari'!S43</f>
        <v>55</v>
      </c>
      <c r="L43" s="27"/>
      <c r="M43" s="27"/>
      <c r="N43" s="28"/>
      <c r="O43" s="24"/>
      <c r="P43" s="24"/>
      <c r="Q43" s="22" t="str">
        <f aca="false">IF(M43="","",IF(M43&lt;=Mulai!$G$7,"Ya","Tidak"))</f>
        <v/>
      </c>
    </row>
    <row r="44" customFormat="false" ht="56" hidden="false" customHeight="true" outlineLevel="0" collapsed="false">
      <c r="A44" s="22" t="n">
        <v>39</v>
      </c>
      <c r="B44" s="23" t="n">
        <f aca="false">Mulai!$C$5+A44-1</f>
        <v>46310</v>
      </c>
      <c r="C44" s="22" t="s">
        <v>107</v>
      </c>
      <c r="D44" s="24" t="s">
        <v>69</v>
      </c>
      <c r="E44" s="24" t="s">
        <v>69</v>
      </c>
      <c r="F44" s="24" t="s">
        <v>69</v>
      </c>
      <c r="G44" s="24" t="s">
        <v>69</v>
      </c>
      <c r="H44" s="24" t="s">
        <v>69</v>
      </c>
      <c r="I44" s="25" t="n">
        <f aca="false">COUNTIF(D44:H44,"Selesai")/COLUMNS(D44:H44)</f>
        <v>0</v>
      </c>
      <c r="J44" s="22" t="str">
        <f aca="false">IF(I44=1,"Selesai",IF(I44=0,"Belum mulai","Berjalan"))</f>
        <v>Belum mulai</v>
      </c>
      <c r="K44" s="26" t="n">
        <f aca="false">'Rencana 120 Hari'!S44</f>
        <v>55</v>
      </c>
      <c r="L44" s="27"/>
      <c r="M44" s="27"/>
      <c r="N44" s="28"/>
      <c r="O44" s="24"/>
      <c r="P44" s="24"/>
      <c r="Q44" s="22" t="str">
        <f aca="false">IF(M44="","",IF(M44&lt;=Mulai!$G$7,"Ya","Tidak"))</f>
        <v/>
      </c>
    </row>
    <row r="45" customFormat="false" ht="56" hidden="false" customHeight="true" outlineLevel="0" collapsed="false">
      <c r="A45" s="22" t="n">
        <v>40</v>
      </c>
      <c r="B45" s="23" t="n">
        <f aca="false">Mulai!$C$5+A45-1</f>
        <v>46311</v>
      </c>
      <c r="C45" s="22" t="s">
        <v>108</v>
      </c>
      <c r="D45" s="24" t="s">
        <v>69</v>
      </c>
      <c r="E45" s="24" t="s">
        <v>69</v>
      </c>
      <c r="F45" s="24" t="s">
        <v>69</v>
      </c>
      <c r="G45" s="24" t="s">
        <v>69</v>
      </c>
      <c r="H45" s="24" t="s">
        <v>69</v>
      </c>
      <c r="I45" s="25" t="n">
        <f aca="false">COUNTIF(D45:H45,"Selesai")/COLUMNS(D45:H45)</f>
        <v>0</v>
      </c>
      <c r="J45" s="22" t="str">
        <f aca="false">IF(I45=1,"Selesai",IF(I45=0,"Belum mulai","Berjalan"))</f>
        <v>Belum mulai</v>
      </c>
      <c r="K45" s="26" t="n">
        <f aca="false">'Rencana 120 Hari'!S45</f>
        <v>55</v>
      </c>
      <c r="L45" s="27"/>
      <c r="M45" s="27"/>
      <c r="N45" s="28"/>
      <c r="O45" s="24"/>
      <c r="P45" s="24"/>
      <c r="Q45" s="22" t="str">
        <f aca="false">IF(M45="","",IF(M45&lt;=Mulai!$G$7,"Ya","Tidak"))</f>
        <v/>
      </c>
    </row>
    <row r="46" customFormat="false" ht="56" hidden="false" customHeight="true" outlineLevel="0" collapsed="false">
      <c r="A46" s="22" t="n">
        <v>41</v>
      </c>
      <c r="B46" s="23" t="n">
        <f aca="false">Mulai!$C$5+A46-1</f>
        <v>46312</v>
      </c>
      <c r="C46" s="22" t="s">
        <v>109</v>
      </c>
      <c r="D46" s="24" t="s">
        <v>69</v>
      </c>
      <c r="E46" s="24" t="s">
        <v>69</v>
      </c>
      <c r="F46" s="24" t="s">
        <v>69</v>
      </c>
      <c r="G46" s="24" t="s">
        <v>69</v>
      </c>
      <c r="H46" s="24" t="s">
        <v>69</v>
      </c>
      <c r="I46" s="25" t="n">
        <f aca="false">COUNTIF(D46:H46,"Selesai")/COLUMNS(D46:H46)</f>
        <v>0</v>
      </c>
      <c r="J46" s="22" t="str">
        <f aca="false">IF(I46=1,"Selesai",IF(I46=0,"Belum mulai","Berjalan"))</f>
        <v>Belum mulai</v>
      </c>
      <c r="K46" s="26" t="n">
        <f aca="false">'Rencana 120 Hari'!S46</f>
        <v>55</v>
      </c>
      <c r="L46" s="27"/>
      <c r="M46" s="27"/>
      <c r="N46" s="28"/>
      <c r="O46" s="24"/>
      <c r="P46" s="24"/>
      <c r="Q46" s="22" t="str">
        <f aca="false">IF(M46="","",IF(M46&lt;=Mulai!$G$7,"Ya","Tidak"))</f>
        <v/>
      </c>
    </row>
    <row r="47" customFormat="false" ht="56" hidden="false" customHeight="true" outlineLevel="0" collapsed="false">
      <c r="A47" s="22" t="n">
        <v>42</v>
      </c>
      <c r="B47" s="23" t="n">
        <f aca="false">Mulai!$C$5+A47-1</f>
        <v>46313</v>
      </c>
      <c r="C47" s="22" t="s">
        <v>110</v>
      </c>
      <c r="D47" s="24" t="s">
        <v>69</v>
      </c>
      <c r="E47" s="24" t="s">
        <v>69</v>
      </c>
      <c r="F47" s="24" t="s">
        <v>69</v>
      </c>
      <c r="G47" s="24" t="s">
        <v>69</v>
      </c>
      <c r="H47" s="24" t="s">
        <v>69</v>
      </c>
      <c r="I47" s="25" t="n">
        <f aca="false">COUNTIF(D47:H47,"Selesai")/COLUMNS(D47:H47)</f>
        <v>0</v>
      </c>
      <c r="J47" s="22" t="str">
        <f aca="false">IF(I47=1,"Selesai",IF(I47=0,"Belum mulai","Berjalan"))</f>
        <v>Belum mulai</v>
      </c>
      <c r="K47" s="26" t="n">
        <f aca="false">'Rencana 120 Hari'!S47</f>
        <v>55</v>
      </c>
      <c r="L47" s="27"/>
      <c r="M47" s="27"/>
      <c r="N47" s="28"/>
      <c r="O47" s="24"/>
      <c r="P47" s="24"/>
      <c r="Q47" s="22" t="str">
        <f aca="false">IF(M47="","",IF(M47&lt;=Mulai!$G$7,"Ya","Tidak"))</f>
        <v/>
      </c>
    </row>
    <row r="48" customFormat="false" ht="56" hidden="false" customHeight="true" outlineLevel="0" collapsed="false">
      <c r="A48" s="22" t="n">
        <v>43</v>
      </c>
      <c r="B48" s="23" t="n">
        <f aca="false">Mulai!$C$5+A48-1</f>
        <v>46314</v>
      </c>
      <c r="C48" s="22" t="s">
        <v>111</v>
      </c>
      <c r="D48" s="24" t="s">
        <v>69</v>
      </c>
      <c r="E48" s="24" t="s">
        <v>69</v>
      </c>
      <c r="F48" s="24" t="s">
        <v>69</v>
      </c>
      <c r="G48" s="24" t="s">
        <v>69</v>
      </c>
      <c r="H48" s="24" t="s">
        <v>69</v>
      </c>
      <c r="I48" s="25" t="n">
        <f aca="false">COUNTIF(D48:H48,"Selesai")/COLUMNS(D48:H48)</f>
        <v>0</v>
      </c>
      <c r="J48" s="22" t="str">
        <f aca="false">IF(I48=1,"Selesai",IF(I48=0,"Belum mulai","Berjalan"))</f>
        <v>Belum mulai</v>
      </c>
      <c r="K48" s="26" t="n">
        <f aca="false">'Rencana 120 Hari'!S48</f>
        <v>55</v>
      </c>
      <c r="L48" s="27"/>
      <c r="M48" s="27"/>
      <c r="N48" s="28"/>
      <c r="O48" s="24"/>
      <c r="P48" s="24"/>
      <c r="Q48" s="22" t="str">
        <f aca="false">IF(M48="","",IF(M48&lt;=Mulai!$G$7,"Ya","Tidak"))</f>
        <v/>
      </c>
    </row>
    <row r="49" customFormat="false" ht="56" hidden="false" customHeight="true" outlineLevel="0" collapsed="false">
      <c r="A49" s="22" t="n">
        <v>44</v>
      </c>
      <c r="B49" s="23" t="n">
        <f aca="false">Mulai!$C$5+A49-1</f>
        <v>46315</v>
      </c>
      <c r="C49" s="22" t="s">
        <v>112</v>
      </c>
      <c r="D49" s="24" t="s">
        <v>69</v>
      </c>
      <c r="E49" s="24" t="s">
        <v>69</v>
      </c>
      <c r="F49" s="24" t="s">
        <v>69</v>
      </c>
      <c r="G49" s="24" t="s">
        <v>69</v>
      </c>
      <c r="H49" s="24" t="s">
        <v>69</v>
      </c>
      <c r="I49" s="25" t="n">
        <f aca="false">COUNTIF(D49:H49,"Selesai")/COLUMNS(D49:H49)</f>
        <v>0</v>
      </c>
      <c r="J49" s="22" t="str">
        <f aca="false">IF(I49=1,"Selesai",IF(I49=0,"Belum mulai","Berjalan"))</f>
        <v>Belum mulai</v>
      </c>
      <c r="K49" s="26" t="n">
        <f aca="false">'Rencana 120 Hari'!S49</f>
        <v>55</v>
      </c>
      <c r="L49" s="27"/>
      <c r="M49" s="27"/>
      <c r="N49" s="28"/>
      <c r="O49" s="24"/>
      <c r="P49" s="24"/>
      <c r="Q49" s="22" t="str">
        <f aca="false">IF(M49="","",IF(M49&lt;=Mulai!$G$7,"Ya","Tidak"))</f>
        <v/>
      </c>
    </row>
    <row r="50" customFormat="false" ht="56" hidden="false" customHeight="true" outlineLevel="0" collapsed="false">
      <c r="A50" s="22" t="n">
        <v>45</v>
      </c>
      <c r="B50" s="23" t="n">
        <f aca="false">Mulai!$C$5+A50-1</f>
        <v>46316</v>
      </c>
      <c r="C50" s="22" t="s">
        <v>113</v>
      </c>
      <c r="D50" s="24" t="s">
        <v>69</v>
      </c>
      <c r="E50" s="24" t="s">
        <v>69</v>
      </c>
      <c r="F50" s="24" t="s">
        <v>69</v>
      </c>
      <c r="G50" s="24" t="s">
        <v>69</v>
      </c>
      <c r="H50" s="24" t="s">
        <v>69</v>
      </c>
      <c r="I50" s="25" t="n">
        <f aca="false">COUNTIF(D50:H50,"Selesai")/COLUMNS(D50:H50)</f>
        <v>0</v>
      </c>
      <c r="J50" s="22" t="str">
        <f aca="false">IF(I50=1,"Selesai",IF(I50=0,"Belum mulai","Berjalan"))</f>
        <v>Belum mulai</v>
      </c>
      <c r="K50" s="26" t="n">
        <f aca="false">'Rencana 120 Hari'!S50</f>
        <v>55</v>
      </c>
      <c r="L50" s="27"/>
      <c r="M50" s="27"/>
      <c r="N50" s="28"/>
      <c r="O50" s="24"/>
      <c r="P50" s="24"/>
      <c r="Q50" s="22" t="str">
        <f aca="false">IF(M50="","",IF(M50&lt;=Mulai!$G$7,"Ya","Tidak"))</f>
        <v/>
      </c>
    </row>
    <row r="51" customFormat="false" ht="56" hidden="false" customHeight="true" outlineLevel="0" collapsed="false">
      <c r="A51" s="22" t="n">
        <v>46</v>
      </c>
      <c r="B51" s="23" t="n">
        <f aca="false">Mulai!$C$5+A51-1</f>
        <v>46317</v>
      </c>
      <c r="C51" s="22" t="s">
        <v>114</v>
      </c>
      <c r="D51" s="24" t="s">
        <v>69</v>
      </c>
      <c r="E51" s="24" t="s">
        <v>69</v>
      </c>
      <c r="F51" s="24" t="s">
        <v>69</v>
      </c>
      <c r="G51" s="24" t="s">
        <v>69</v>
      </c>
      <c r="H51" s="24" t="s">
        <v>69</v>
      </c>
      <c r="I51" s="25" t="n">
        <f aca="false">COUNTIF(D51:H51,"Selesai")/COLUMNS(D51:H51)</f>
        <v>0</v>
      </c>
      <c r="J51" s="22" t="str">
        <f aca="false">IF(I51=1,"Selesai",IF(I51=0,"Belum mulai","Berjalan"))</f>
        <v>Belum mulai</v>
      </c>
      <c r="K51" s="26" t="n">
        <f aca="false">'Rencana 120 Hari'!S51</f>
        <v>55</v>
      </c>
      <c r="L51" s="27"/>
      <c r="M51" s="27"/>
      <c r="N51" s="28"/>
      <c r="O51" s="24"/>
      <c r="P51" s="24"/>
      <c r="Q51" s="22" t="str">
        <f aca="false">IF(M51="","",IF(M51&lt;=Mulai!$G$7,"Ya","Tidak"))</f>
        <v/>
      </c>
    </row>
    <row r="52" customFormat="false" ht="56" hidden="false" customHeight="true" outlineLevel="0" collapsed="false">
      <c r="A52" s="22" t="n">
        <v>47</v>
      </c>
      <c r="B52" s="23" t="n">
        <f aca="false">Mulai!$C$5+A52-1</f>
        <v>46318</v>
      </c>
      <c r="C52" s="22" t="s">
        <v>115</v>
      </c>
      <c r="D52" s="24" t="s">
        <v>69</v>
      </c>
      <c r="E52" s="24" t="s">
        <v>69</v>
      </c>
      <c r="F52" s="24" t="s">
        <v>69</v>
      </c>
      <c r="G52" s="24" t="s">
        <v>69</v>
      </c>
      <c r="H52" s="24" t="s">
        <v>69</v>
      </c>
      <c r="I52" s="25" t="n">
        <f aca="false">COUNTIF(D52:H52,"Selesai")/COLUMNS(D52:H52)</f>
        <v>0</v>
      </c>
      <c r="J52" s="22" t="str">
        <f aca="false">IF(I52=1,"Selesai",IF(I52=0,"Belum mulai","Berjalan"))</f>
        <v>Belum mulai</v>
      </c>
      <c r="K52" s="26" t="n">
        <f aca="false">'Rencana 120 Hari'!S52</f>
        <v>55</v>
      </c>
      <c r="L52" s="27"/>
      <c r="M52" s="27"/>
      <c r="N52" s="28"/>
      <c r="O52" s="24"/>
      <c r="P52" s="24"/>
      <c r="Q52" s="22" t="str">
        <f aca="false">IF(M52="","",IF(M52&lt;=Mulai!$G$7,"Ya","Tidak"))</f>
        <v/>
      </c>
    </row>
    <row r="53" customFormat="false" ht="56" hidden="false" customHeight="true" outlineLevel="0" collapsed="false">
      <c r="A53" s="22" t="n">
        <v>48</v>
      </c>
      <c r="B53" s="23" t="n">
        <f aca="false">Mulai!$C$5+A53-1</f>
        <v>46319</v>
      </c>
      <c r="C53" s="22" t="s">
        <v>116</v>
      </c>
      <c r="D53" s="24" t="s">
        <v>69</v>
      </c>
      <c r="E53" s="24" t="s">
        <v>69</v>
      </c>
      <c r="F53" s="24" t="s">
        <v>69</v>
      </c>
      <c r="G53" s="24" t="s">
        <v>69</v>
      </c>
      <c r="H53" s="24" t="s">
        <v>69</v>
      </c>
      <c r="I53" s="25" t="n">
        <f aca="false">COUNTIF(D53:H53,"Selesai")/COLUMNS(D53:H53)</f>
        <v>0</v>
      </c>
      <c r="J53" s="22" t="str">
        <f aca="false">IF(I53=1,"Selesai",IF(I53=0,"Belum mulai","Berjalan"))</f>
        <v>Belum mulai</v>
      </c>
      <c r="K53" s="26" t="n">
        <f aca="false">'Rencana 120 Hari'!S53</f>
        <v>55</v>
      </c>
      <c r="L53" s="27"/>
      <c r="M53" s="27"/>
      <c r="N53" s="28"/>
      <c r="O53" s="24"/>
      <c r="P53" s="24"/>
      <c r="Q53" s="22" t="str">
        <f aca="false">IF(M53="","",IF(M53&lt;=Mulai!$G$7,"Ya","Tidak"))</f>
        <v/>
      </c>
    </row>
    <row r="54" customFormat="false" ht="56" hidden="false" customHeight="true" outlineLevel="0" collapsed="false">
      <c r="A54" s="22" t="n">
        <v>49</v>
      </c>
      <c r="B54" s="23" t="n">
        <f aca="false">Mulai!$C$5+A54-1</f>
        <v>46320</v>
      </c>
      <c r="C54" s="22" t="s">
        <v>117</v>
      </c>
      <c r="D54" s="24" t="s">
        <v>69</v>
      </c>
      <c r="E54" s="24" t="s">
        <v>69</v>
      </c>
      <c r="F54" s="24" t="s">
        <v>69</v>
      </c>
      <c r="G54" s="24" t="s">
        <v>69</v>
      </c>
      <c r="H54" s="24" t="s">
        <v>69</v>
      </c>
      <c r="I54" s="25" t="n">
        <f aca="false">COUNTIF(D54:H54,"Selesai")/COLUMNS(D54:H54)</f>
        <v>0</v>
      </c>
      <c r="J54" s="22" t="str">
        <f aca="false">IF(I54=1,"Selesai",IF(I54=0,"Belum mulai","Berjalan"))</f>
        <v>Belum mulai</v>
      </c>
      <c r="K54" s="26" t="n">
        <f aca="false">'Rencana 120 Hari'!S54</f>
        <v>55</v>
      </c>
      <c r="L54" s="27"/>
      <c r="M54" s="27"/>
      <c r="N54" s="28"/>
      <c r="O54" s="24"/>
      <c r="P54" s="24"/>
      <c r="Q54" s="22" t="str">
        <f aca="false">IF(M54="","",IF(M54&lt;=Mulai!$G$7,"Ya","Tidak"))</f>
        <v/>
      </c>
    </row>
    <row r="55" customFormat="false" ht="56" hidden="false" customHeight="true" outlineLevel="0" collapsed="false">
      <c r="A55" s="22" t="n">
        <v>50</v>
      </c>
      <c r="B55" s="23" t="n">
        <f aca="false">Mulai!$C$5+A55-1</f>
        <v>46321</v>
      </c>
      <c r="C55" s="22" t="s">
        <v>118</v>
      </c>
      <c r="D55" s="24" t="s">
        <v>69</v>
      </c>
      <c r="E55" s="24" t="s">
        <v>69</v>
      </c>
      <c r="F55" s="24" t="s">
        <v>69</v>
      </c>
      <c r="G55" s="24" t="s">
        <v>69</v>
      </c>
      <c r="H55" s="24" t="s">
        <v>69</v>
      </c>
      <c r="I55" s="25" t="n">
        <f aca="false">COUNTIF(D55:H55,"Selesai")/COLUMNS(D55:H55)</f>
        <v>0</v>
      </c>
      <c r="J55" s="22" t="str">
        <f aca="false">IF(I55=1,"Selesai",IF(I55=0,"Belum mulai","Berjalan"))</f>
        <v>Belum mulai</v>
      </c>
      <c r="K55" s="26" t="n">
        <f aca="false">'Rencana 120 Hari'!S55</f>
        <v>55</v>
      </c>
      <c r="L55" s="27"/>
      <c r="M55" s="27"/>
      <c r="N55" s="28"/>
      <c r="O55" s="24"/>
      <c r="P55" s="24"/>
      <c r="Q55" s="22" t="str">
        <f aca="false">IF(M55="","",IF(M55&lt;=Mulai!$G$7,"Ya","Tidak"))</f>
        <v/>
      </c>
    </row>
    <row r="56" customFormat="false" ht="56" hidden="false" customHeight="true" outlineLevel="0" collapsed="false">
      <c r="A56" s="22" t="n">
        <v>51</v>
      </c>
      <c r="B56" s="23" t="n">
        <f aca="false">Mulai!$C$5+A56-1</f>
        <v>46322</v>
      </c>
      <c r="C56" s="22" t="s">
        <v>119</v>
      </c>
      <c r="D56" s="24" t="s">
        <v>69</v>
      </c>
      <c r="E56" s="24" t="s">
        <v>69</v>
      </c>
      <c r="F56" s="24" t="s">
        <v>69</v>
      </c>
      <c r="G56" s="24" t="s">
        <v>69</v>
      </c>
      <c r="H56" s="24" t="s">
        <v>69</v>
      </c>
      <c r="I56" s="25" t="n">
        <f aca="false">COUNTIF(D56:H56,"Selesai")/COLUMNS(D56:H56)</f>
        <v>0</v>
      </c>
      <c r="J56" s="22" t="str">
        <f aca="false">IF(I56=1,"Selesai",IF(I56=0,"Belum mulai","Berjalan"))</f>
        <v>Belum mulai</v>
      </c>
      <c r="K56" s="26" t="n">
        <f aca="false">'Rencana 120 Hari'!S56</f>
        <v>55</v>
      </c>
      <c r="L56" s="27"/>
      <c r="M56" s="27"/>
      <c r="N56" s="28"/>
      <c r="O56" s="24"/>
      <c r="P56" s="24"/>
      <c r="Q56" s="22" t="str">
        <f aca="false">IF(M56="","",IF(M56&lt;=Mulai!$G$7,"Ya","Tidak"))</f>
        <v/>
      </c>
    </row>
    <row r="57" customFormat="false" ht="56" hidden="false" customHeight="true" outlineLevel="0" collapsed="false">
      <c r="A57" s="22" t="n">
        <v>52</v>
      </c>
      <c r="B57" s="23" t="n">
        <f aca="false">Mulai!$C$5+A57-1</f>
        <v>46323</v>
      </c>
      <c r="C57" s="22" t="s">
        <v>120</v>
      </c>
      <c r="D57" s="24" t="s">
        <v>69</v>
      </c>
      <c r="E57" s="24" t="s">
        <v>69</v>
      </c>
      <c r="F57" s="24" t="s">
        <v>69</v>
      </c>
      <c r="G57" s="24" t="s">
        <v>69</v>
      </c>
      <c r="H57" s="24" t="s">
        <v>69</v>
      </c>
      <c r="I57" s="25" t="n">
        <f aca="false">COUNTIF(D57:H57,"Selesai")/COLUMNS(D57:H57)</f>
        <v>0</v>
      </c>
      <c r="J57" s="22" t="str">
        <f aca="false">IF(I57=1,"Selesai",IF(I57=0,"Belum mulai","Berjalan"))</f>
        <v>Belum mulai</v>
      </c>
      <c r="K57" s="26" t="n">
        <f aca="false">'Rencana 120 Hari'!S57</f>
        <v>55</v>
      </c>
      <c r="L57" s="27"/>
      <c r="M57" s="27"/>
      <c r="N57" s="28"/>
      <c r="O57" s="24"/>
      <c r="P57" s="24"/>
      <c r="Q57" s="22" t="str">
        <f aca="false">IF(M57="","",IF(M57&lt;=Mulai!$G$7,"Ya","Tidak"))</f>
        <v/>
      </c>
    </row>
    <row r="58" customFormat="false" ht="56" hidden="false" customHeight="true" outlineLevel="0" collapsed="false">
      <c r="A58" s="22" t="n">
        <v>53</v>
      </c>
      <c r="B58" s="23" t="n">
        <f aca="false">Mulai!$C$5+A58-1</f>
        <v>46324</v>
      </c>
      <c r="C58" s="22" t="s">
        <v>121</v>
      </c>
      <c r="D58" s="24" t="s">
        <v>69</v>
      </c>
      <c r="E58" s="24" t="s">
        <v>69</v>
      </c>
      <c r="F58" s="24" t="s">
        <v>69</v>
      </c>
      <c r="G58" s="24" t="s">
        <v>69</v>
      </c>
      <c r="H58" s="24" t="s">
        <v>69</v>
      </c>
      <c r="I58" s="25" t="n">
        <f aca="false">COUNTIF(D58:H58,"Selesai")/COLUMNS(D58:H58)</f>
        <v>0</v>
      </c>
      <c r="J58" s="22" t="str">
        <f aca="false">IF(I58=1,"Selesai",IF(I58=0,"Belum mulai","Berjalan"))</f>
        <v>Belum mulai</v>
      </c>
      <c r="K58" s="26" t="n">
        <f aca="false">'Rencana 120 Hari'!S58</f>
        <v>55</v>
      </c>
      <c r="L58" s="27"/>
      <c r="M58" s="27"/>
      <c r="N58" s="28"/>
      <c r="O58" s="24"/>
      <c r="P58" s="24"/>
      <c r="Q58" s="22" t="str">
        <f aca="false">IF(M58="","",IF(M58&lt;=Mulai!$G$7,"Ya","Tidak"))</f>
        <v/>
      </c>
    </row>
    <row r="59" customFormat="false" ht="56" hidden="false" customHeight="true" outlineLevel="0" collapsed="false">
      <c r="A59" s="22" t="n">
        <v>54</v>
      </c>
      <c r="B59" s="23" t="n">
        <f aca="false">Mulai!$C$5+A59-1</f>
        <v>46325</v>
      </c>
      <c r="C59" s="22" t="s">
        <v>122</v>
      </c>
      <c r="D59" s="24" t="s">
        <v>69</v>
      </c>
      <c r="E59" s="24" t="s">
        <v>69</v>
      </c>
      <c r="F59" s="24" t="s">
        <v>69</v>
      </c>
      <c r="G59" s="24" t="s">
        <v>69</v>
      </c>
      <c r="H59" s="24" t="s">
        <v>69</v>
      </c>
      <c r="I59" s="25" t="n">
        <f aca="false">COUNTIF(D59:H59,"Selesai")/COLUMNS(D59:H59)</f>
        <v>0</v>
      </c>
      <c r="J59" s="22" t="str">
        <f aca="false">IF(I59=1,"Selesai",IF(I59=0,"Belum mulai","Berjalan"))</f>
        <v>Belum mulai</v>
      </c>
      <c r="K59" s="26" t="n">
        <f aca="false">'Rencana 120 Hari'!S59</f>
        <v>55</v>
      </c>
      <c r="L59" s="27"/>
      <c r="M59" s="27"/>
      <c r="N59" s="28"/>
      <c r="O59" s="24"/>
      <c r="P59" s="24"/>
      <c r="Q59" s="22" t="str">
        <f aca="false">IF(M59="","",IF(M59&lt;=Mulai!$G$7,"Ya","Tidak"))</f>
        <v/>
      </c>
    </row>
    <row r="60" customFormat="false" ht="56" hidden="false" customHeight="true" outlineLevel="0" collapsed="false">
      <c r="A60" s="22" t="n">
        <v>55</v>
      </c>
      <c r="B60" s="23" t="n">
        <f aca="false">Mulai!$C$5+A60-1</f>
        <v>46326</v>
      </c>
      <c r="C60" s="22" t="s">
        <v>123</v>
      </c>
      <c r="D60" s="24" t="s">
        <v>69</v>
      </c>
      <c r="E60" s="24" t="s">
        <v>69</v>
      </c>
      <c r="F60" s="24" t="s">
        <v>69</v>
      </c>
      <c r="G60" s="24" t="s">
        <v>69</v>
      </c>
      <c r="H60" s="24" t="s">
        <v>69</v>
      </c>
      <c r="I60" s="25" t="n">
        <f aca="false">COUNTIF(D60:H60,"Selesai")/COLUMNS(D60:H60)</f>
        <v>0</v>
      </c>
      <c r="J60" s="22" t="str">
        <f aca="false">IF(I60=1,"Selesai",IF(I60=0,"Belum mulai","Berjalan"))</f>
        <v>Belum mulai</v>
      </c>
      <c r="K60" s="26" t="n">
        <f aca="false">'Rencana 120 Hari'!S60</f>
        <v>55</v>
      </c>
      <c r="L60" s="27"/>
      <c r="M60" s="27"/>
      <c r="N60" s="28"/>
      <c r="O60" s="24"/>
      <c r="P60" s="24"/>
      <c r="Q60" s="22" t="str">
        <f aca="false">IF(M60="","",IF(M60&lt;=Mulai!$G$7,"Ya","Tidak"))</f>
        <v/>
      </c>
    </row>
    <row r="61" customFormat="false" ht="56" hidden="false" customHeight="true" outlineLevel="0" collapsed="false">
      <c r="A61" s="22" t="n">
        <v>56</v>
      </c>
      <c r="B61" s="23" t="n">
        <f aca="false">Mulai!$C$5+A61-1</f>
        <v>46327</v>
      </c>
      <c r="C61" s="22" t="s">
        <v>124</v>
      </c>
      <c r="D61" s="24" t="s">
        <v>69</v>
      </c>
      <c r="E61" s="24" t="s">
        <v>69</v>
      </c>
      <c r="F61" s="24" t="s">
        <v>69</v>
      </c>
      <c r="G61" s="24" t="s">
        <v>69</v>
      </c>
      <c r="H61" s="24" t="s">
        <v>69</v>
      </c>
      <c r="I61" s="25" t="n">
        <f aca="false">COUNTIF(D61:H61,"Selesai")/COLUMNS(D61:H61)</f>
        <v>0</v>
      </c>
      <c r="J61" s="22" t="str">
        <f aca="false">IF(I61=1,"Selesai",IF(I61=0,"Belum mulai","Berjalan"))</f>
        <v>Belum mulai</v>
      </c>
      <c r="K61" s="26" t="n">
        <f aca="false">'Rencana 120 Hari'!S61</f>
        <v>55</v>
      </c>
      <c r="L61" s="27"/>
      <c r="M61" s="27"/>
      <c r="N61" s="28"/>
      <c r="O61" s="24"/>
      <c r="P61" s="24"/>
      <c r="Q61" s="22" t="str">
        <f aca="false">IF(M61="","",IF(M61&lt;=Mulai!$G$7,"Ya","Tidak"))</f>
        <v/>
      </c>
    </row>
    <row r="62" customFormat="false" ht="56" hidden="false" customHeight="true" outlineLevel="0" collapsed="false">
      <c r="A62" s="22" t="n">
        <v>57</v>
      </c>
      <c r="B62" s="23" t="n">
        <f aca="false">Mulai!$C$5+A62-1</f>
        <v>46328</v>
      </c>
      <c r="C62" s="22" t="s">
        <v>125</v>
      </c>
      <c r="D62" s="24" t="s">
        <v>69</v>
      </c>
      <c r="E62" s="24" t="s">
        <v>69</v>
      </c>
      <c r="F62" s="24" t="s">
        <v>69</v>
      </c>
      <c r="G62" s="24" t="s">
        <v>69</v>
      </c>
      <c r="H62" s="24" t="s">
        <v>69</v>
      </c>
      <c r="I62" s="25" t="n">
        <f aca="false">COUNTIF(D62:H62,"Selesai")/COLUMNS(D62:H62)</f>
        <v>0</v>
      </c>
      <c r="J62" s="22" t="str">
        <f aca="false">IF(I62=1,"Selesai",IF(I62=0,"Belum mulai","Berjalan"))</f>
        <v>Belum mulai</v>
      </c>
      <c r="K62" s="26" t="n">
        <f aca="false">'Rencana 120 Hari'!S62</f>
        <v>55</v>
      </c>
      <c r="L62" s="27"/>
      <c r="M62" s="27"/>
      <c r="N62" s="28"/>
      <c r="O62" s="24"/>
      <c r="P62" s="24"/>
      <c r="Q62" s="22" t="str">
        <f aca="false">IF(M62="","",IF(M62&lt;=Mulai!$G$7,"Ya","Tidak"))</f>
        <v/>
      </c>
    </row>
    <row r="63" customFormat="false" ht="56" hidden="false" customHeight="true" outlineLevel="0" collapsed="false">
      <c r="A63" s="22" t="n">
        <v>58</v>
      </c>
      <c r="B63" s="23" t="n">
        <f aca="false">Mulai!$C$5+A63-1</f>
        <v>46329</v>
      </c>
      <c r="C63" s="22" t="s">
        <v>126</v>
      </c>
      <c r="D63" s="24" t="s">
        <v>69</v>
      </c>
      <c r="E63" s="24" t="s">
        <v>69</v>
      </c>
      <c r="F63" s="24" t="s">
        <v>69</v>
      </c>
      <c r="G63" s="24" t="s">
        <v>69</v>
      </c>
      <c r="H63" s="24" t="s">
        <v>69</v>
      </c>
      <c r="I63" s="25" t="n">
        <f aca="false">COUNTIF(D63:H63,"Selesai")/COLUMNS(D63:H63)</f>
        <v>0</v>
      </c>
      <c r="J63" s="22" t="str">
        <f aca="false">IF(I63=1,"Selesai",IF(I63=0,"Belum mulai","Berjalan"))</f>
        <v>Belum mulai</v>
      </c>
      <c r="K63" s="26" t="n">
        <f aca="false">'Rencana 120 Hari'!S63</f>
        <v>55</v>
      </c>
      <c r="L63" s="27"/>
      <c r="M63" s="27"/>
      <c r="N63" s="28"/>
      <c r="O63" s="24"/>
      <c r="P63" s="24"/>
      <c r="Q63" s="22" t="str">
        <f aca="false">IF(M63="","",IF(M63&lt;=Mulai!$G$7,"Ya","Tidak"))</f>
        <v/>
      </c>
    </row>
    <row r="64" customFormat="false" ht="56" hidden="false" customHeight="true" outlineLevel="0" collapsed="false">
      <c r="A64" s="22" t="n">
        <v>59</v>
      </c>
      <c r="B64" s="23" t="n">
        <f aca="false">Mulai!$C$5+A64-1</f>
        <v>46330</v>
      </c>
      <c r="C64" s="22" t="s">
        <v>127</v>
      </c>
      <c r="D64" s="24" t="s">
        <v>69</v>
      </c>
      <c r="E64" s="24" t="s">
        <v>69</v>
      </c>
      <c r="F64" s="24" t="s">
        <v>69</v>
      </c>
      <c r="G64" s="24" t="s">
        <v>69</v>
      </c>
      <c r="H64" s="24" t="s">
        <v>69</v>
      </c>
      <c r="I64" s="25" t="n">
        <f aca="false">COUNTIF(D64:H64,"Selesai")/COLUMNS(D64:H64)</f>
        <v>0</v>
      </c>
      <c r="J64" s="22" t="str">
        <f aca="false">IF(I64=1,"Selesai",IF(I64=0,"Belum mulai","Berjalan"))</f>
        <v>Belum mulai</v>
      </c>
      <c r="K64" s="26" t="n">
        <f aca="false">'Rencana 120 Hari'!S64</f>
        <v>55</v>
      </c>
      <c r="L64" s="27"/>
      <c r="M64" s="27"/>
      <c r="N64" s="28"/>
      <c r="O64" s="24"/>
      <c r="P64" s="24"/>
      <c r="Q64" s="22" t="str">
        <f aca="false">IF(M64="","",IF(M64&lt;=Mulai!$G$7,"Ya","Tidak"))</f>
        <v/>
      </c>
    </row>
    <row r="65" customFormat="false" ht="56" hidden="false" customHeight="true" outlineLevel="0" collapsed="false">
      <c r="A65" s="22" t="n">
        <v>60</v>
      </c>
      <c r="B65" s="23" t="n">
        <f aca="false">Mulai!$C$5+A65-1</f>
        <v>46331</v>
      </c>
      <c r="C65" s="22" t="s">
        <v>128</v>
      </c>
      <c r="D65" s="24" t="s">
        <v>69</v>
      </c>
      <c r="E65" s="24" t="s">
        <v>69</v>
      </c>
      <c r="F65" s="24" t="s">
        <v>69</v>
      </c>
      <c r="G65" s="24" t="s">
        <v>69</v>
      </c>
      <c r="H65" s="24" t="s">
        <v>69</v>
      </c>
      <c r="I65" s="25" t="n">
        <f aca="false">COUNTIF(D65:H65,"Selesai")/COLUMNS(D65:H65)</f>
        <v>0</v>
      </c>
      <c r="J65" s="22" t="str">
        <f aca="false">IF(I65=1,"Selesai",IF(I65=0,"Belum mulai","Berjalan"))</f>
        <v>Belum mulai</v>
      </c>
      <c r="K65" s="26" t="n">
        <f aca="false">'Rencana 120 Hari'!S65</f>
        <v>55</v>
      </c>
      <c r="L65" s="27"/>
      <c r="M65" s="27"/>
      <c r="N65" s="28"/>
      <c r="O65" s="24"/>
      <c r="P65" s="24"/>
      <c r="Q65" s="22" t="str">
        <f aca="false">IF(M65="","",IF(M65&lt;=Mulai!$G$7,"Ya","Tidak"))</f>
        <v/>
      </c>
    </row>
    <row r="66" customFormat="false" ht="56" hidden="false" customHeight="true" outlineLevel="0" collapsed="false">
      <c r="A66" s="22" t="n">
        <v>61</v>
      </c>
      <c r="B66" s="23" t="n">
        <f aca="false">Mulai!$C$5+A66-1</f>
        <v>46332</v>
      </c>
      <c r="C66" s="22" t="s">
        <v>129</v>
      </c>
      <c r="D66" s="24" t="s">
        <v>69</v>
      </c>
      <c r="E66" s="24" t="s">
        <v>69</v>
      </c>
      <c r="F66" s="24" t="s">
        <v>69</v>
      </c>
      <c r="G66" s="24" t="s">
        <v>69</v>
      </c>
      <c r="H66" s="24" t="s">
        <v>69</v>
      </c>
      <c r="I66" s="25" t="n">
        <f aca="false">COUNTIF(D66:H66,"Selesai")/COLUMNS(D66:H66)</f>
        <v>0</v>
      </c>
      <c r="J66" s="22" t="str">
        <f aca="false">IF(I66=1,"Selesai",IF(I66=0,"Belum mulai","Berjalan"))</f>
        <v>Belum mulai</v>
      </c>
      <c r="K66" s="26" t="n">
        <f aca="false">'Rencana 120 Hari'!S66</f>
        <v>55</v>
      </c>
      <c r="L66" s="27"/>
      <c r="M66" s="27"/>
      <c r="N66" s="28"/>
      <c r="O66" s="24"/>
      <c r="P66" s="24"/>
      <c r="Q66" s="22" t="str">
        <f aca="false">IF(M66="","",IF(M66&lt;=Mulai!$G$7,"Ya","Tidak"))</f>
        <v/>
      </c>
    </row>
    <row r="67" customFormat="false" ht="56" hidden="false" customHeight="true" outlineLevel="0" collapsed="false">
      <c r="A67" s="22" t="n">
        <v>62</v>
      </c>
      <c r="B67" s="23" t="n">
        <f aca="false">Mulai!$C$5+A67-1</f>
        <v>46333</v>
      </c>
      <c r="C67" s="22" t="s">
        <v>130</v>
      </c>
      <c r="D67" s="24" t="s">
        <v>69</v>
      </c>
      <c r="E67" s="24" t="s">
        <v>69</v>
      </c>
      <c r="F67" s="24" t="s">
        <v>69</v>
      </c>
      <c r="G67" s="24" t="s">
        <v>69</v>
      </c>
      <c r="H67" s="24" t="s">
        <v>69</v>
      </c>
      <c r="I67" s="25" t="n">
        <f aca="false">COUNTIF(D67:H67,"Selesai")/COLUMNS(D67:H67)</f>
        <v>0</v>
      </c>
      <c r="J67" s="22" t="str">
        <f aca="false">IF(I67=1,"Selesai",IF(I67=0,"Belum mulai","Berjalan"))</f>
        <v>Belum mulai</v>
      </c>
      <c r="K67" s="26" t="n">
        <f aca="false">'Rencana 120 Hari'!S67</f>
        <v>55</v>
      </c>
      <c r="L67" s="27"/>
      <c r="M67" s="27"/>
      <c r="N67" s="28"/>
      <c r="O67" s="24"/>
      <c r="P67" s="24"/>
      <c r="Q67" s="22" t="str">
        <f aca="false">IF(M67="","",IF(M67&lt;=Mulai!$G$7,"Ya","Tidak"))</f>
        <v/>
      </c>
    </row>
    <row r="68" customFormat="false" ht="56" hidden="false" customHeight="true" outlineLevel="0" collapsed="false">
      <c r="A68" s="22" t="n">
        <v>63</v>
      </c>
      <c r="B68" s="23" t="n">
        <f aca="false">Mulai!$C$5+A68-1</f>
        <v>46334</v>
      </c>
      <c r="C68" s="22" t="s">
        <v>131</v>
      </c>
      <c r="D68" s="24" t="s">
        <v>69</v>
      </c>
      <c r="E68" s="24" t="s">
        <v>69</v>
      </c>
      <c r="F68" s="24" t="s">
        <v>69</v>
      </c>
      <c r="G68" s="24" t="s">
        <v>69</v>
      </c>
      <c r="H68" s="24" t="s">
        <v>69</v>
      </c>
      <c r="I68" s="25" t="n">
        <f aca="false">COUNTIF(D68:H68,"Selesai")/COLUMNS(D68:H68)</f>
        <v>0</v>
      </c>
      <c r="J68" s="22" t="str">
        <f aca="false">IF(I68=1,"Selesai",IF(I68=0,"Belum mulai","Berjalan"))</f>
        <v>Belum mulai</v>
      </c>
      <c r="K68" s="26" t="n">
        <f aca="false">'Rencana 120 Hari'!S68</f>
        <v>55</v>
      </c>
      <c r="L68" s="27"/>
      <c r="M68" s="27"/>
      <c r="N68" s="28"/>
      <c r="O68" s="24"/>
      <c r="P68" s="24"/>
      <c r="Q68" s="22" t="str">
        <f aca="false">IF(M68="","",IF(M68&lt;=Mulai!$G$7,"Ya","Tidak"))</f>
        <v/>
      </c>
    </row>
    <row r="69" customFormat="false" ht="56" hidden="false" customHeight="true" outlineLevel="0" collapsed="false">
      <c r="A69" s="22" t="n">
        <v>64</v>
      </c>
      <c r="B69" s="23" t="n">
        <f aca="false">Mulai!$C$5+A69-1</f>
        <v>46335</v>
      </c>
      <c r="C69" s="22" t="s">
        <v>132</v>
      </c>
      <c r="D69" s="24" t="s">
        <v>69</v>
      </c>
      <c r="E69" s="24" t="s">
        <v>69</v>
      </c>
      <c r="F69" s="24" t="s">
        <v>69</v>
      </c>
      <c r="G69" s="24" t="s">
        <v>69</v>
      </c>
      <c r="H69" s="24" t="s">
        <v>69</v>
      </c>
      <c r="I69" s="25" t="n">
        <f aca="false">COUNTIF(D69:H69,"Selesai")/COLUMNS(D69:H69)</f>
        <v>0</v>
      </c>
      <c r="J69" s="22" t="str">
        <f aca="false">IF(I69=1,"Selesai",IF(I69=0,"Belum mulai","Berjalan"))</f>
        <v>Belum mulai</v>
      </c>
      <c r="K69" s="26" t="n">
        <f aca="false">'Rencana 120 Hari'!S69</f>
        <v>55</v>
      </c>
      <c r="L69" s="27"/>
      <c r="M69" s="27"/>
      <c r="N69" s="28"/>
      <c r="O69" s="24"/>
      <c r="P69" s="24"/>
      <c r="Q69" s="22" t="str">
        <f aca="false">IF(M69="","",IF(M69&lt;=Mulai!$G$7,"Ya","Tidak"))</f>
        <v/>
      </c>
    </row>
    <row r="70" customFormat="false" ht="56" hidden="false" customHeight="true" outlineLevel="0" collapsed="false">
      <c r="A70" s="22" t="n">
        <v>65</v>
      </c>
      <c r="B70" s="23" t="n">
        <f aca="false">Mulai!$C$5+A70-1</f>
        <v>46336</v>
      </c>
      <c r="C70" s="22" t="s">
        <v>133</v>
      </c>
      <c r="D70" s="24" t="s">
        <v>69</v>
      </c>
      <c r="E70" s="24" t="s">
        <v>69</v>
      </c>
      <c r="F70" s="24" t="s">
        <v>69</v>
      </c>
      <c r="G70" s="24" t="s">
        <v>69</v>
      </c>
      <c r="H70" s="24" t="s">
        <v>69</v>
      </c>
      <c r="I70" s="25" t="n">
        <f aca="false">COUNTIF(D70:H70,"Selesai")/COLUMNS(D70:H70)</f>
        <v>0</v>
      </c>
      <c r="J70" s="22" t="str">
        <f aca="false">IF(I70=1,"Selesai",IF(I70=0,"Belum mulai","Berjalan"))</f>
        <v>Belum mulai</v>
      </c>
      <c r="K70" s="26" t="n">
        <f aca="false">'Rencana 120 Hari'!S70</f>
        <v>55</v>
      </c>
      <c r="L70" s="27"/>
      <c r="M70" s="27"/>
      <c r="N70" s="28"/>
      <c r="O70" s="24"/>
      <c r="P70" s="24"/>
      <c r="Q70" s="22" t="str">
        <f aca="false">IF(M70="","",IF(M70&lt;=Mulai!$G$7,"Ya","Tidak"))</f>
        <v/>
      </c>
    </row>
    <row r="71" customFormat="false" ht="56" hidden="false" customHeight="true" outlineLevel="0" collapsed="false">
      <c r="A71" s="22" t="n">
        <v>66</v>
      </c>
      <c r="B71" s="23" t="n">
        <f aca="false">Mulai!$C$5+A71-1</f>
        <v>46337</v>
      </c>
      <c r="C71" s="22" t="s">
        <v>134</v>
      </c>
      <c r="D71" s="24" t="s">
        <v>69</v>
      </c>
      <c r="E71" s="24" t="s">
        <v>69</v>
      </c>
      <c r="F71" s="24" t="s">
        <v>69</v>
      </c>
      <c r="G71" s="24" t="s">
        <v>69</v>
      </c>
      <c r="H71" s="24" t="s">
        <v>69</v>
      </c>
      <c r="I71" s="25" t="n">
        <f aca="false">COUNTIF(D71:H71,"Selesai")/COLUMNS(D71:H71)</f>
        <v>0</v>
      </c>
      <c r="J71" s="22" t="str">
        <f aca="false">IF(I71=1,"Selesai",IF(I71=0,"Belum mulai","Berjalan"))</f>
        <v>Belum mulai</v>
      </c>
      <c r="K71" s="26" t="n">
        <f aca="false">'Rencana 120 Hari'!S71</f>
        <v>55</v>
      </c>
      <c r="L71" s="27"/>
      <c r="M71" s="27"/>
      <c r="N71" s="28"/>
      <c r="O71" s="24"/>
      <c r="P71" s="24"/>
      <c r="Q71" s="22" t="str">
        <f aca="false">IF(M71="","",IF(M71&lt;=Mulai!$G$7,"Ya","Tidak"))</f>
        <v/>
      </c>
    </row>
    <row r="72" customFormat="false" ht="56" hidden="false" customHeight="true" outlineLevel="0" collapsed="false">
      <c r="A72" s="22" t="n">
        <v>67</v>
      </c>
      <c r="B72" s="23" t="n">
        <f aca="false">Mulai!$C$5+A72-1</f>
        <v>46338</v>
      </c>
      <c r="C72" s="22" t="s">
        <v>135</v>
      </c>
      <c r="D72" s="24" t="s">
        <v>69</v>
      </c>
      <c r="E72" s="24" t="s">
        <v>69</v>
      </c>
      <c r="F72" s="24" t="s">
        <v>69</v>
      </c>
      <c r="G72" s="24" t="s">
        <v>69</v>
      </c>
      <c r="H72" s="24" t="s">
        <v>69</v>
      </c>
      <c r="I72" s="25" t="n">
        <f aca="false">COUNTIF(D72:H72,"Selesai")/COLUMNS(D72:H72)</f>
        <v>0</v>
      </c>
      <c r="J72" s="22" t="str">
        <f aca="false">IF(I72=1,"Selesai",IF(I72=0,"Belum mulai","Berjalan"))</f>
        <v>Belum mulai</v>
      </c>
      <c r="K72" s="26" t="n">
        <f aca="false">'Rencana 120 Hari'!S72</f>
        <v>55</v>
      </c>
      <c r="L72" s="27"/>
      <c r="M72" s="27"/>
      <c r="N72" s="28"/>
      <c r="O72" s="24"/>
      <c r="P72" s="24"/>
      <c r="Q72" s="22" t="str">
        <f aca="false">IF(M72="","",IF(M72&lt;=Mulai!$G$7,"Ya","Tidak"))</f>
        <v/>
      </c>
    </row>
    <row r="73" customFormat="false" ht="56" hidden="false" customHeight="true" outlineLevel="0" collapsed="false">
      <c r="A73" s="22" t="n">
        <v>68</v>
      </c>
      <c r="B73" s="23" t="n">
        <f aca="false">Mulai!$C$5+A73-1</f>
        <v>46339</v>
      </c>
      <c r="C73" s="22" t="s">
        <v>136</v>
      </c>
      <c r="D73" s="24" t="s">
        <v>69</v>
      </c>
      <c r="E73" s="24" t="s">
        <v>69</v>
      </c>
      <c r="F73" s="24" t="s">
        <v>69</v>
      </c>
      <c r="G73" s="24" t="s">
        <v>69</v>
      </c>
      <c r="H73" s="24" t="s">
        <v>69</v>
      </c>
      <c r="I73" s="25" t="n">
        <f aca="false">COUNTIF(D73:H73,"Selesai")/COLUMNS(D73:H73)</f>
        <v>0</v>
      </c>
      <c r="J73" s="22" t="str">
        <f aca="false">IF(I73=1,"Selesai",IF(I73=0,"Belum mulai","Berjalan"))</f>
        <v>Belum mulai</v>
      </c>
      <c r="K73" s="26" t="n">
        <f aca="false">'Rencana 120 Hari'!S73</f>
        <v>55</v>
      </c>
      <c r="L73" s="27"/>
      <c r="M73" s="27"/>
      <c r="N73" s="28"/>
      <c r="O73" s="24"/>
      <c r="P73" s="24"/>
      <c r="Q73" s="22" t="str">
        <f aca="false">IF(M73="","",IF(M73&lt;=Mulai!$G$7,"Ya","Tidak"))</f>
        <v/>
      </c>
    </row>
    <row r="74" customFormat="false" ht="56" hidden="false" customHeight="true" outlineLevel="0" collapsed="false">
      <c r="A74" s="22" t="n">
        <v>69</v>
      </c>
      <c r="B74" s="23" t="n">
        <f aca="false">Mulai!$C$5+A74-1</f>
        <v>46340</v>
      </c>
      <c r="C74" s="22" t="s">
        <v>137</v>
      </c>
      <c r="D74" s="24" t="s">
        <v>69</v>
      </c>
      <c r="E74" s="24" t="s">
        <v>69</v>
      </c>
      <c r="F74" s="24" t="s">
        <v>69</v>
      </c>
      <c r="G74" s="24" t="s">
        <v>69</v>
      </c>
      <c r="H74" s="24" t="s">
        <v>69</v>
      </c>
      <c r="I74" s="25" t="n">
        <f aca="false">COUNTIF(D74:H74,"Selesai")/COLUMNS(D74:H74)</f>
        <v>0</v>
      </c>
      <c r="J74" s="22" t="str">
        <f aca="false">IF(I74=1,"Selesai",IF(I74=0,"Belum mulai","Berjalan"))</f>
        <v>Belum mulai</v>
      </c>
      <c r="K74" s="26" t="n">
        <f aca="false">'Rencana 120 Hari'!S74</f>
        <v>55</v>
      </c>
      <c r="L74" s="27"/>
      <c r="M74" s="27"/>
      <c r="N74" s="28"/>
      <c r="O74" s="24"/>
      <c r="P74" s="24"/>
      <c r="Q74" s="22" t="str">
        <f aca="false">IF(M74="","",IF(M74&lt;=Mulai!$G$7,"Ya","Tidak"))</f>
        <v/>
      </c>
    </row>
    <row r="75" customFormat="false" ht="56" hidden="false" customHeight="true" outlineLevel="0" collapsed="false">
      <c r="A75" s="22" t="n">
        <v>70</v>
      </c>
      <c r="B75" s="23" t="n">
        <f aca="false">Mulai!$C$5+A75-1</f>
        <v>46341</v>
      </c>
      <c r="C75" s="22" t="s">
        <v>138</v>
      </c>
      <c r="D75" s="24" t="s">
        <v>69</v>
      </c>
      <c r="E75" s="24" t="s">
        <v>69</v>
      </c>
      <c r="F75" s="24" t="s">
        <v>69</v>
      </c>
      <c r="G75" s="24" t="s">
        <v>69</v>
      </c>
      <c r="H75" s="24" t="s">
        <v>69</v>
      </c>
      <c r="I75" s="25" t="n">
        <f aca="false">COUNTIF(D75:H75,"Selesai")/COLUMNS(D75:H75)</f>
        <v>0</v>
      </c>
      <c r="J75" s="22" t="str">
        <f aca="false">IF(I75=1,"Selesai",IF(I75=0,"Belum mulai","Berjalan"))</f>
        <v>Belum mulai</v>
      </c>
      <c r="K75" s="26" t="n">
        <f aca="false">'Rencana 120 Hari'!S75</f>
        <v>55</v>
      </c>
      <c r="L75" s="27"/>
      <c r="M75" s="27"/>
      <c r="N75" s="28"/>
      <c r="O75" s="24"/>
      <c r="P75" s="24"/>
      <c r="Q75" s="22" t="str">
        <f aca="false">IF(M75="","",IF(M75&lt;=Mulai!$G$7,"Ya","Tidak"))</f>
        <v/>
      </c>
    </row>
    <row r="76" customFormat="false" ht="56" hidden="false" customHeight="true" outlineLevel="0" collapsed="false">
      <c r="A76" s="22" t="n">
        <v>71</v>
      </c>
      <c r="B76" s="23" t="n">
        <f aca="false">Mulai!$C$5+A76-1</f>
        <v>46342</v>
      </c>
      <c r="C76" s="22" t="s">
        <v>139</v>
      </c>
      <c r="D76" s="24" t="s">
        <v>69</v>
      </c>
      <c r="E76" s="24" t="s">
        <v>69</v>
      </c>
      <c r="F76" s="24" t="s">
        <v>69</v>
      </c>
      <c r="G76" s="24" t="s">
        <v>69</v>
      </c>
      <c r="H76" s="24" t="s">
        <v>69</v>
      </c>
      <c r="I76" s="25" t="n">
        <f aca="false">COUNTIF(D76:H76,"Selesai")/COLUMNS(D76:H76)</f>
        <v>0</v>
      </c>
      <c r="J76" s="22" t="str">
        <f aca="false">IF(I76=1,"Selesai",IF(I76=0,"Belum mulai","Berjalan"))</f>
        <v>Belum mulai</v>
      </c>
      <c r="K76" s="26" t="n">
        <f aca="false">'Rencana 120 Hari'!S76</f>
        <v>55</v>
      </c>
      <c r="L76" s="27"/>
      <c r="M76" s="27"/>
      <c r="N76" s="28"/>
      <c r="O76" s="24"/>
      <c r="P76" s="24"/>
      <c r="Q76" s="22" t="str">
        <f aca="false">IF(M76="","",IF(M76&lt;=Mulai!$G$7,"Ya","Tidak"))</f>
        <v/>
      </c>
    </row>
    <row r="77" customFormat="false" ht="56" hidden="false" customHeight="true" outlineLevel="0" collapsed="false">
      <c r="A77" s="22" t="n">
        <v>72</v>
      </c>
      <c r="B77" s="23" t="n">
        <f aca="false">Mulai!$C$5+A77-1</f>
        <v>46343</v>
      </c>
      <c r="C77" s="22" t="s">
        <v>140</v>
      </c>
      <c r="D77" s="24" t="s">
        <v>69</v>
      </c>
      <c r="E77" s="24" t="s">
        <v>69</v>
      </c>
      <c r="F77" s="24" t="s">
        <v>69</v>
      </c>
      <c r="G77" s="24" t="s">
        <v>69</v>
      </c>
      <c r="H77" s="24" t="s">
        <v>69</v>
      </c>
      <c r="I77" s="25" t="n">
        <f aca="false">COUNTIF(D77:H77,"Selesai")/COLUMNS(D77:H77)</f>
        <v>0</v>
      </c>
      <c r="J77" s="22" t="str">
        <f aca="false">IF(I77=1,"Selesai",IF(I77=0,"Belum mulai","Berjalan"))</f>
        <v>Belum mulai</v>
      </c>
      <c r="K77" s="26" t="n">
        <f aca="false">'Rencana 120 Hari'!S77</f>
        <v>55</v>
      </c>
      <c r="L77" s="27"/>
      <c r="M77" s="27"/>
      <c r="N77" s="28"/>
      <c r="O77" s="24"/>
      <c r="P77" s="24"/>
      <c r="Q77" s="22" t="str">
        <f aca="false">IF(M77="","",IF(M77&lt;=Mulai!$G$7,"Ya","Tidak"))</f>
        <v/>
      </c>
    </row>
    <row r="78" customFormat="false" ht="56" hidden="false" customHeight="true" outlineLevel="0" collapsed="false">
      <c r="A78" s="22" t="n">
        <v>73</v>
      </c>
      <c r="B78" s="23" t="n">
        <f aca="false">Mulai!$C$5+A78-1</f>
        <v>46344</v>
      </c>
      <c r="C78" s="22" t="s">
        <v>141</v>
      </c>
      <c r="D78" s="24" t="s">
        <v>69</v>
      </c>
      <c r="E78" s="24" t="s">
        <v>69</v>
      </c>
      <c r="F78" s="24" t="s">
        <v>69</v>
      </c>
      <c r="G78" s="24" t="s">
        <v>69</v>
      </c>
      <c r="H78" s="24" t="s">
        <v>69</v>
      </c>
      <c r="I78" s="25" t="n">
        <f aca="false">COUNTIF(D78:H78,"Selesai")/COLUMNS(D78:H78)</f>
        <v>0</v>
      </c>
      <c r="J78" s="22" t="str">
        <f aca="false">IF(I78=1,"Selesai",IF(I78=0,"Belum mulai","Berjalan"))</f>
        <v>Belum mulai</v>
      </c>
      <c r="K78" s="26" t="n">
        <f aca="false">'Rencana 120 Hari'!S78</f>
        <v>55</v>
      </c>
      <c r="L78" s="27"/>
      <c r="M78" s="27"/>
      <c r="N78" s="28"/>
      <c r="O78" s="24"/>
      <c r="P78" s="24"/>
      <c r="Q78" s="22" t="str">
        <f aca="false">IF(M78="","",IF(M78&lt;=Mulai!$G$7,"Ya","Tidak"))</f>
        <v/>
      </c>
    </row>
    <row r="79" customFormat="false" ht="56" hidden="false" customHeight="true" outlineLevel="0" collapsed="false">
      <c r="A79" s="22" t="n">
        <v>74</v>
      </c>
      <c r="B79" s="23" t="n">
        <f aca="false">Mulai!$C$5+A79-1</f>
        <v>46345</v>
      </c>
      <c r="C79" s="22" t="s">
        <v>142</v>
      </c>
      <c r="D79" s="24" t="s">
        <v>69</v>
      </c>
      <c r="E79" s="24" t="s">
        <v>69</v>
      </c>
      <c r="F79" s="24" t="s">
        <v>69</v>
      </c>
      <c r="G79" s="24" t="s">
        <v>69</v>
      </c>
      <c r="H79" s="24" t="s">
        <v>69</v>
      </c>
      <c r="I79" s="25" t="n">
        <f aca="false">COUNTIF(D79:H79,"Selesai")/COLUMNS(D79:H79)</f>
        <v>0</v>
      </c>
      <c r="J79" s="22" t="str">
        <f aca="false">IF(I79=1,"Selesai",IF(I79=0,"Belum mulai","Berjalan"))</f>
        <v>Belum mulai</v>
      </c>
      <c r="K79" s="26" t="n">
        <f aca="false">'Rencana 120 Hari'!S79</f>
        <v>55</v>
      </c>
      <c r="L79" s="27"/>
      <c r="M79" s="27"/>
      <c r="N79" s="28"/>
      <c r="O79" s="24"/>
      <c r="P79" s="24"/>
      <c r="Q79" s="22" t="str">
        <f aca="false">IF(M79="","",IF(M79&lt;=Mulai!$G$7,"Ya","Tidak"))</f>
        <v/>
      </c>
    </row>
    <row r="80" customFormat="false" ht="56" hidden="false" customHeight="true" outlineLevel="0" collapsed="false">
      <c r="A80" s="22" t="n">
        <v>75</v>
      </c>
      <c r="B80" s="23" t="n">
        <f aca="false">Mulai!$C$5+A80-1</f>
        <v>46346</v>
      </c>
      <c r="C80" s="22" t="s">
        <v>143</v>
      </c>
      <c r="D80" s="24" t="s">
        <v>69</v>
      </c>
      <c r="E80" s="24" t="s">
        <v>69</v>
      </c>
      <c r="F80" s="24" t="s">
        <v>69</v>
      </c>
      <c r="G80" s="24" t="s">
        <v>69</v>
      </c>
      <c r="H80" s="24" t="s">
        <v>69</v>
      </c>
      <c r="I80" s="25" t="n">
        <f aca="false">COUNTIF(D80:H80,"Selesai")/COLUMNS(D80:H80)</f>
        <v>0</v>
      </c>
      <c r="J80" s="22" t="str">
        <f aca="false">IF(I80=1,"Selesai",IF(I80=0,"Belum mulai","Berjalan"))</f>
        <v>Belum mulai</v>
      </c>
      <c r="K80" s="26" t="n">
        <f aca="false">'Rencana 120 Hari'!S80</f>
        <v>55</v>
      </c>
      <c r="L80" s="27"/>
      <c r="M80" s="27"/>
      <c r="N80" s="28"/>
      <c r="O80" s="24"/>
      <c r="P80" s="24"/>
      <c r="Q80" s="22" t="str">
        <f aca="false">IF(M80="","",IF(M80&lt;=Mulai!$G$7,"Ya","Tidak"))</f>
        <v/>
      </c>
    </row>
    <row r="81" customFormat="false" ht="56" hidden="false" customHeight="true" outlineLevel="0" collapsed="false">
      <c r="A81" s="22" t="n">
        <v>76</v>
      </c>
      <c r="B81" s="23" t="n">
        <f aca="false">Mulai!$C$5+A81-1</f>
        <v>46347</v>
      </c>
      <c r="C81" s="22" t="s">
        <v>144</v>
      </c>
      <c r="D81" s="24" t="s">
        <v>69</v>
      </c>
      <c r="E81" s="24" t="s">
        <v>69</v>
      </c>
      <c r="F81" s="24" t="s">
        <v>69</v>
      </c>
      <c r="G81" s="24" t="s">
        <v>69</v>
      </c>
      <c r="H81" s="24" t="s">
        <v>69</v>
      </c>
      <c r="I81" s="25" t="n">
        <f aca="false">COUNTIF(D81:H81,"Selesai")/COLUMNS(D81:H81)</f>
        <v>0</v>
      </c>
      <c r="J81" s="22" t="str">
        <f aca="false">IF(I81=1,"Selesai",IF(I81=0,"Belum mulai","Berjalan"))</f>
        <v>Belum mulai</v>
      </c>
      <c r="K81" s="26" t="n">
        <f aca="false">'Rencana 120 Hari'!S81</f>
        <v>55</v>
      </c>
      <c r="L81" s="27"/>
      <c r="M81" s="27"/>
      <c r="N81" s="28"/>
      <c r="O81" s="24"/>
      <c r="P81" s="24"/>
      <c r="Q81" s="22" t="str">
        <f aca="false">IF(M81="","",IF(M81&lt;=Mulai!$G$7,"Ya","Tidak"))</f>
        <v/>
      </c>
    </row>
    <row r="82" customFormat="false" ht="56" hidden="false" customHeight="true" outlineLevel="0" collapsed="false">
      <c r="A82" s="22" t="n">
        <v>77</v>
      </c>
      <c r="B82" s="23" t="n">
        <f aca="false">Mulai!$C$5+A82-1</f>
        <v>46348</v>
      </c>
      <c r="C82" s="22" t="s">
        <v>145</v>
      </c>
      <c r="D82" s="24" t="s">
        <v>69</v>
      </c>
      <c r="E82" s="24" t="s">
        <v>69</v>
      </c>
      <c r="F82" s="24" t="s">
        <v>69</v>
      </c>
      <c r="G82" s="24" t="s">
        <v>69</v>
      </c>
      <c r="H82" s="24" t="s">
        <v>69</v>
      </c>
      <c r="I82" s="25" t="n">
        <f aca="false">COUNTIF(D82:H82,"Selesai")/COLUMNS(D82:H82)</f>
        <v>0</v>
      </c>
      <c r="J82" s="22" t="str">
        <f aca="false">IF(I82=1,"Selesai",IF(I82=0,"Belum mulai","Berjalan"))</f>
        <v>Belum mulai</v>
      </c>
      <c r="K82" s="26" t="n">
        <f aca="false">'Rencana 120 Hari'!S82</f>
        <v>55</v>
      </c>
      <c r="L82" s="27"/>
      <c r="M82" s="27"/>
      <c r="N82" s="28"/>
      <c r="O82" s="24"/>
      <c r="P82" s="24"/>
      <c r="Q82" s="22" t="str">
        <f aca="false">IF(M82="","",IF(M82&lt;=Mulai!$G$7,"Ya","Tidak"))</f>
        <v/>
      </c>
    </row>
    <row r="83" customFormat="false" ht="56" hidden="false" customHeight="true" outlineLevel="0" collapsed="false">
      <c r="A83" s="22" t="n">
        <v>78</v>
      </c>
      <c r="B83" s="23" t="n">
        <f aca="false">Mulai!$C$5+A83-1</f>
        <v>46349</v>
      </c>
      <c r="C83" s="22" t="s">
        <v>146</v>
      </c>
      <c r="D83" s="24" t="s">
        <v>69</v>
      </c>
      <c r="E83" s="24" t="s">
        <v>69</v>
      </c>
      <c r="F83" s="24" t="s">
        <v>69</v>
      </c>
      <c r="G83" s="24" t="s">
        <v>69</v>
      </c>
      <c r="H83" s="24" t="s">
        <v>69</v>
      </c>
      <c r="I83" s="25" t="n">
        <f aca="false">COUNTIF(D83:H83,"Selesai")/COLUMNS(D83:H83)</f>
        <v>0</v>
      </c>
      <c r="J83" s="22" t="str">
        <f aca="false">IF(I83=1,"Selesai",IF(I83=0,"Belum mulai","Berjalan"))</f>
        <v>Belum mulai</v>
      </c>
      <c r="K83" s="26" t="n">
        <f aca="false">'Rencana 120 Hari'!S83</f>
        <v>55</v>
      </c>
      <c r="L83" s="27"/>
      <c r="M83" s="27"/>
      <c r="N83" s="28"/>
      <c r="O83" s="24"/>
      <c r="P83" s="24"/>
      <c r="Q83" s="22" t="str">
        <f aca="false">IF(M83="","",IF(M83&lt;=Mulai!$G$7,"Ya","Tidak"))</f>
        <v/>
      </c>
    </row>
    <row r="84" customFormat="false" ht="56" hidden="false" customHeight="true" outlineLevel="0" collapsed="false">
      <c r="A84" s="22" t="n">
        <v>79</v>
      </c>
      <c r="B84" s="23" t="n">
        <f aca="false">Mulai!$C$5+A84-1</f>
        <v>46350</v>
      </c>
      <c r="C84" s="22" t="s">
        <v>147</v>
      </c>
      <c r="D84" s="24" t="s">
        <v>69</v>
      </c>
      <c r="E84" s="24" t="s">
        <v>69</v>
      </c>
      <c r="F84" s="24" t="s">
        <v>69</v>
      </c>
      <c r="G84" s="24" t="s">
        <v>69</v>
      </c>
      <c r="H84" s="24" t="s">
        <v>69</v>
      </c>
      <c r="I84" s="25" t="n">
        <f aca="false">COUNTIF(D84:H84,"Selesai")/COLUMNS(D84:H84)</f>
        <v>0</v>
      </c>
      <c r="J84" s="22" t="str">
        <f aca="false">IF(I84=1,"Selesai",IF(I84=0,"Belum mulai","Berjalan"))</f>
        <v>Belum mulai</v>
      </c>
      <c r="K84" s="26" t="n">
        <f aca="false">'Rencana 120 Hari'!S84</f>
        <v>55</v>
      </c>
      <c r="L84" s="27"/>
      <c r="M84" s="27"/>
      <c r="N84" s="28"/>
      <c r="O84" s="24"/>
      <c r="P84" s="24"/>
      <c r="Q84" s="22" t="str">
        <f aca="false">IF(M84="","",IF(M84&lt;=Mulai!$G$7,"Ya","Tidak"))</f>
        <v/>
      </c>
    </row>
    <row r="85" customFormat="false" ht="56" hidden="false" customHeight="true" outlineLevel="0" collapsed="false">
      <c r="A85" s="22" t="n">
        <v>80</v>
      </c>
      <c r="B85" s="23" t="n">
        <f aca="false">Mulai!$C$5+A85-1</f>
        <v>46351</v>
      </c>
      <c r="C85" s="22" t="s">
        <v>148</v>
      </c>
      <c r="D85" s="24" t="s">
        <v>69</v>
      </c>
      <c r="E85" s="24" t="s">
        <v>69</v>
      </c>
      <c r="F85" s="24" t="s">
        <v>69</v>
      </c>
      <c r="G85" s="24" t="s">
        <v>69</v>
      </c>
      <c r="H85" s="24" t="s">
        <v>69</v>
      </c>
      <c r="I85" s="25" t="n">
        <f aca="false">COUNTIF(D85:H85,"Selesai")/COLUMNS(D85:H85)</f>
        <v>0</v>
      </c>
      <c r="J85" s="22" t="str">
        <f aca="false">IF(I85=1,"Selesai",IF(I85=0,"Belum mulai","Berjalan"))</f>
        <v>Belum mulai</v>
      </c>
      <c r="K85" s="26" t="n">
        <f aca="false">'Rencana 120 Hari'!S85</f>
        <v>55</v>
      </c>
      <c r="L85" s="27"/>
      <c r="M85" s="27"/>
      <c r="N85" s="28"/>
      <c r="O85" s="24"/>
      <c r="P85" s="24"/>
      <c r="Q85" s="22" t="str">
        <f aca="false">IF(M85="","",IF(M85&lt;=Mulai!$G$7,"Ya","Tidak"))</f>
        <v/>
      </c>
    </row>
    <row r="86" customFormat="false" ht="56" hidden="false" customHeight="true" outlineLevel="0" collapsed="false">
      <c r="A86" s="22" t="n">
        <v>81</v>
      </c>
      <c r="B86" s="23" t="n">
        <f aca="false">Mulai!$C$5+A86-1</f>
        <v>46352</v>
      </c>
      <c r="C86" s="22" t="s">
        <v>149</v>
      </c>
      <c r="D86" s="24" t="s">
        <v>69</v>
      </c>
      <c r="E86" s="24" t="s">
        <v>69</v>
      </c>
      <c r="F86" s="24" t="s">
        <v>69</v>
      </c>
      <c r="G86" s="24" t="s">
        <v>69</v>
      </c>
      <c r="H86" s="24" t="s">
        <v>69</v>
      </c>
      <c r="I86" s="25" t="n">
        <f aca="false">COUNTIF(D86:H86,"Selesai")/COLUMNS(D86:H86)</f>
        <v>0</v>
      </c>
      <c r="J86" s="22" t="str">
        <f aca="false">IF(I86=1,"Selesai",IF(I86=0,"Belum mulai","Berjalan"))</f>
        <v>Belum mulai</v>
      </c>
      <c r="K86" s="26" t="n">
        <f aca="false">'Rencana 120 Hari'!S86</f>
        <v>55</v>
      </c>
      <c r="L86" s="27"/>
      <c r="M86" s="27"/>
      <c r="N86" s="28"/>
      <c r="O86" s="24"/>
      <c r="P86" s="24"/>
      <c r="Q86" s="22" t="str">
        <f aca="false">IF(M86="","",IF(M86&lt;=Mulai!$G$7,"Ya","Tidak"))</f>
        <v/>
      </c>
    </row>
    <row r="87" customFormat="false" ht="56" hidden="false" customHeight="true" outlineLevel="0" collapsed="false">
      <c r="A87" s="22" t="n">
        <v>82</v>
      </c>
      <c r="B87" s="23" t="n">
        <f aca="false">Mulai!$C$5+A87-1</f>
        <v>46353</v>
      </c>
      <c r="C87" s="22" t="s">
        <v>150</v>
      </c>
      <c r="D87" s="24" t="s">
        <v>69</v>
      </c>
      <c r="E87" s="24" t="s">
        <v>69</v>
      </c>
      <c r="F87" s="24" t="s">
        <v>69</v>
      </c>
      <c r="G87" s="24" t="s">
        <v>69</v>
      </c>
      <c r="H87" s="24" t="s">
        <v>69</v>
      </c>
      <c r="I87" s="25" t="n">
        <f aca="false">COUNTIF(D87:H87,"Selesai")/COLUMNS(D87:H87)</f>
        <v>0</v>
      </c>
      <c r="J87" s="22" t="str">
        <f aca="false">IF(I87=1,"Selesai",IF(I87=0,"Belum mulai","Berjalan"))</f>
        <v>Belum mulai</v>
      </c>
      <c r="K87" s="26" t="n">
        <f aca="false">'Rencana 120 Hari'!S87</f>
        <v>55</v>
      </c>
      <c r="L87" s="27"/>
      <c r="M87" s="27"/>
      <c r="N87" s="28"/>
      <c r="O87" s="24"/>
      <c r="P87" s="24"/>
      <c r="Q87" s="22" t="str">
        <f aca="false">IF(M87="","",IF(M87&lt;=Mulai!$G$7,"Ya","Tidak"))</f>
        <v/>
      </c>
    </row>
    <row r="88" customFormat="false" ht="56" hidden="false" customHeight="true" outlineLevel="0" collapsed="false">
      <c r="A88" s="22" t="n">
        <v>83</v>
      </c>
      <c r="B88" s="23" t="n">
        <f aca="false">Mulai!$C$5+A88-1</f>
        <v>46354</v>
      </c>
      <c r="C88" s="22" t="s">
        <v>151</v>
      </c>
      <c r="D88" s="24" t="s">
        <v>69</v>
      </c>
      <c r="E88" s="24" t="s">
        <v>69</v>
      </c>
      <c r="F88" s="24" t="s">
        <v>69</v>
      </c>
      <c r="G88" s="24" t="s">
        <v>69</v>
      </c>
      <c r="H88" s="24" t="s">
        <v>69</v>
      </c>
      <c r="I88" s="25" t="n">
        <f aca="false">COUNTIF(D88:H88,"Selesai")/COLUMNS(D88:H88)</f>
        <v>0</v>
      </c>
      <c r="J88" s="22" t="str">
        <f aca="false">IF(I88=1,"Selesai",IF(I88=0,"Belum mulai","Berjalan"))</f>
        <v>Belum mulai</v>
      </c>
      <c r="K88" s="26" t="n">
        <f aca="false">'Rencana 120 Hari'!S88</f>
        <v>55</v>
      </c>
      <c r="L88" s="27"/>
      <c r="M88" s="27"/>
      <c r="N88" s="28"/>
      <c r="O88" s="24"/>
      <c r="P88" s="24"/>
      <c r="Q88" s="22" t="str">
        <f aca="false">IF(M88="","",IF(M88&lt;=Mulai!$G$7,"Ya","Tidak"))</f>
        <v/>
      </c>
    </row>
    <row r="89" customFormat="false" ht="56" hidden="false" customHeight="true" outlineLevel="0" collapsed="false">
      <c r="A89" s="22" t="n">
        <v>84</v>
      </c>
      <c r="B89" s="23" t="n">
        <f aca="false">Mulai!$C$5+A89-1</f>
        <v>46355</v>
      </c>
      <c r="C89" s="22" t="s">
        <v>152</v>
      </c>
      <c r="D89" s="24" t="s">
        <v>69</v>
      </c>
      <c r="E89" s="24" t="s">
        <v>69</v>
      </c>
      <c r="F89" s="24" t="s">
        <v>69</v>
      </c>
      <c r="G89" s="24" t="s">
        <v>69</v>
      </c>
      <c r="H89" s="24" t="s">
        <v>69</v>
      </c>
      <c r="I89" s="25" t="n">
        <f aca="false">COUNTIF(D89:H89,"Selesai")/COLUMNS(D89:H89)</f>
        <v>0</v>
      </c>
      <c r="J89" s="22" t="str">
        <f aca="false">IF(I89=1,"Selesai",IF(I89=0,"Belum mulai","Berjalan"))</f>
        <v>Belum mulai</v>
      </c>
      <c r="K89" s="26" t="n">
        <f aca="false">'Rencana 120 Hari'!S89</f>
        <v>55</v>
      </c>
      <c r="L89" s="27"/>
      <c r="M89" s="27"/>
      <c r="N89" s="28"/>
      <c r="O89" s="24"/>
      <c r="P89" s="24"/>
      <c r="Q89" s="22" t="str">
        <f aca="false">IF(M89="","",IF(M89&lt;=Mulai!$G$7,"Ya","Tidak"))</f>
        <v/>
      </c>
    </row>
    <row r="90" customFormat="false" ht="56" hidden="false" customHeight="true" outlineLevel="0" collapsed="false">
      <c r="A90" s="22" t="n">
        <v>85</v>
      </c>
      <c r="B90" s="23" t="n">
        <f aca="false">Mulai!$C$5+A90-1</f>
        <v>46356</v>
      </c>
      <c r="C90" s="22" t="s">
        <v>153</v>
      </c>
      <c r="D90" s="24" t="s">
        <v>69</v>
      </c>
      <c r="E90" s="24" t="s">
        <v>69</v>
      </c>
      <c r="F90" s="24" t="s">
        <v>69</v>
      </c>
      <c r="G90" s="24" t="s">
        <v>69</v>
      </c>
      <c r="H90" s="24" t="s">
        <v>69</v>
      </c>
      <c r="I90" s="25" t="n">
        <f aca="false">COUNTIF(D90:H90,"Selesai")/COLUMNS(D90:H90)</f>
        <v>0</v>
      </c>
      <c r="J90" s="22" t="str">
        <f aca="false">IF(I90=1,"Selesai",IF(I90=0,"Belum mulai","Berjalan"))</f>
        <v>Belum mulai</v>
      </c>
      <c r="K90" s="26" t="n">
        <f aca="false">'Rencana 120 Hari'!S90</f>
        <v>55</v>
      </c>
      <c r="L90" s="27"/>
      <c r="M90" s="27"/>
      <c r="N90" s="28"/>
      <c r="O90" s="24"/>
      <c r="P90" s="24"/>
      <c r="Q90" s="22" t="str">
        <f aca="false">IF(M90="","",IF(M90&lt;=Mulai!$G$7,"Ya","Tidak"))</f>
        <v/>
      </c>
    </row>
    <row r="91" customFormat="false" ht="56" hidden="false" customHeight="true" outlineLevel="0" collapsed="false">
      <c r="A91" s="22" t="n">
        <v>86</v>
      </c>
      <c r="B91" s="23" t="n">
        <f aca="false">Mulai!$C$5+A91-1</f>
        <v>46357</v>
      </c>
      <c r="C91" s="22" t="s">
        <v>154</v>
      </c>
      <c r="D91" s="24" t="s">
        <v>69</v>
      </c>
      <c r="E91" s="24" t="s">
        <v>69</v>
      </c>
      <c r="F91" s="24" t="s">
        <v>69</v>
      </c>
      <c r="G91" s="24" t="s">
        <v>69</v>
      </c>
      <c r="H91" s="24" t="s">
        <v>69</v>
      </c>
      <c r="I91" s="25" t="n">
        <f aca="false">COUNTIF(D91:H91,"Selesai")/COLUMNS(D91:H91)</f>
        <v>0</v>
      </c>
      <c r="J91" s="22" t="str">
        <f aca="false">IF(I91=1,"Selesai",IF(I91=0,"Belum mulai","Berjalan"))</f>
        <v>Belum mulai</v>
      </c>
      <c r="K91" s="26" t="n">
        <f aca="false">'Rencana 120 Hari'!S91</f>
        <v>55</v>
      </c>
      <c r="L91" s="27"/>
      <c r="M91" s="27"/>
      <c r="N91" s="28"/>
      <c r="O91" s="24"/>
      <c r="P91" s="24"/>
      <c r="Q91" s="22" t="str">
        <f aca="false">IF(M91="","",IF(M91&lt;=Mulai!$G$7,"Ya","Tidak"))</f>
        <v/>
      </c>
    </row>
    <row r="92" customFormat="false" ht="56" hidden="false" customHeight="true" outlineLevel="0" collapsed="false">
      <c r="A92" s="22" t="n">
        <v>87</v>
      </c>
      <c r="B92" s="23" t="n">
        <f aca="false">Mulai!$C$5+A92-1</f>
        <v>46358</v>
      </c>
      <c r="C92" s="22" t="s">
        <v>155</v>
      </c>
      <c r="D92" s="24" t="s">
        <v>69</v>
      </c>
      <c r="E92" s="24" t="s">
        <v>69</v>
      </c>
      <c r="F92" s="24" t="s">
        <v>69</v>
      </c>
      <c r="G92" s="24" t="s">
        <v>69</v>
      </c>
      <c r="H92" s="24" t="s">
        <v>69</v>
      </c>
      <c r="I92" s="25" t="n">
        <f aca="false">COUNTIF(D92:H92,"Selesai")/COLUMNS(D92:H92)</f>
        <v>0</v>
      </c>
      <c r="J92" s="22" t="str">
        <f aca="false">IF(I92=1,"Selesai",IF(I92=0,"Belum mulai","Berjalan"))</f>
        <v>Belum mulai</v>
      </c>
      <c r="K92" s="26" t="n">
        <f aca="false">'Rencana 120 Hari'!S92</f>
        <v>55</v>
      </c>
      <c r="L92" s="27"/>
      <c r="M92" s="27"/>
      <c r="N92" s="28"/>
      <c r="O92" s="24"/>
      <c r="P92" s="24"/>
      <c r="Q92" s="22" t="str">
        <f aca="false">IF(M92="","",IF(M92&lt;=Mulai!$G$7,"Ya","Tidak"))</f>
        <v/>
      </c>
    </row>
    <row r="93" customFormat="false" ht="56" hidden="false" customHeight="true" outlineLevel="0" collapsed="false">
      <c r="A93" s="22" t="n">
        <v>88</v>
      </c>
      <c r="B93" s="23" t="n">
        <f aca="false">Mulai!$C$5+A93-1</f>
        <v>46359</v>
      </c>
      <c r="C93" s="22" t="s">
        <v>156</v>
      </c>
      <c r="D93" s="24" t="s">
        <v>69</v>
      </c>
      <c r="E93" s="24" t="s">
        <v>69</v>
      </c>
      <c r="F93" s="24" t="s">
        <v>69</v>
      </c>
      <c r="G93" s="24" t="s">
        <v>69</v>
      </c>
      <c r="H93" s="24" t="s">
        <v>69</v>
      </c>
      <c r="I93" s="25" t="n">
        <f aca="false">COUNTIF(D93:H93,"Selesai")/COLUMNS(D93:H93)</f>
        <v>0</v>
      </c>
      <c r="J93" s="22" t="str">
        <f aca="false">IF(I93=1,"Selesai",IF(I93=0,"Belum mulai","Berjalan"))</f>
        <v>Belum mulai</v>
      </c>
      <c r="K93" s="26" t="n">
        <f aca="false">'Rencana 120 Hari'!S93</f>
        <v>55</v>
      </c>
      <c r="L93" s="27"/>
      <c r="M93" s="27"/>
      <c r="N93" s="28"/>
      <c r="O93" s="24"/>
      <c r="P93" s="24"/>
      <c r="Q93" s="22" t="str">
        <f aca="false">IF(M93="","",IF(M93&lt;=Mulai!$G$7,"Ya","Tidak"))</f>
        <v/>
      </c>
    </row>
    <row r="94" customFormat="false" ht="56" hidden="false" customHeight="true" outlineLevel="0" collapsed="false">
      <c r="A94" s="22" t="n">
        <v>89</v>
      </c>
      <c r="B94" s="23" t="n">
        <f aca="false">Mulai!$C$5+A94-1</f>
        <v>46360</v>
      </c>
      <c r="C94" s="22" t="s">
        <v>157</v>
      </c>
      <c r="D94" s="24" t="s">
        <v>69</v>
      </c>
      <c r="E94" s="24" t="s">
        <v>69</v>
      </c>
      <c r="F94" s="24" t="s">
        <v>69</v>
      </c>
      <c r="G94" s="24" t="s">
        <v>69</v>
      </c>
      <c r="H94" s="24" t="s">
        <v>69</v>
      </c>
      <c r="I94" s="25" t="n">
        <f aca="false">COUNTIF(D94:H94,"Selesai")/COLUMNS(D94:H94)</f>
        <v>0</v>
      </c>
      <c r="J94" s="22" t="str">
        <f aca="false">IF(I94=1,"Selesai",IF(I94=0,"Belum mulai","Berjalan"))</f>
        <v>Belum mulai</v>
      </c>
      <c r="K94" s="26" t="n">
        <f aca="false">'Rencana 120 Hari'!S94</f>
        <v>55</v>
      </c>
      <c r="L94" s="27"/>
      <c r="M94" s="27"/>
      <c r="N94" s="28"/>
      <c r="O94" s="24"/>
      <c r="P94" s="24"/>
      <c r="Q94" s="22" t="str">
        <f aca="false">IF(M94="","",IF(M94&lt;=Mulai!$G$7,"Ya","Tidak"))</f>
        <v/>
      </c>
    </row>
    <row r="95" customFormat="false" ht="56" hidden="false" customHeight="true" outlineLevel="0" collapsed="false">
      <c r="A95" s="22" t="n">
        <v>90</v>
      </c>
      <c r="B95" s="23" t="n">
        <f aca="false">Mulai!$C$5+A95-1</f>
        <v>46361</v>
      </c>
      <c r="C95" s="22" t="s">
        <v>158</v>
      </c>
      <c r="D95" s="24" t="s">
        <v>69</v>
      </c>
      <c r="E95" s="24" t="s">
        <v>69</v>
      </c>
      <c r="F95" s="24" t="s">
        <v>69</v>
      </c>
      <c r="G95" s="24" t="s">
        <v>69</v>
      </c>
      <c r="H95" s="24" t="s">
        <v>69</v>
      </c>
      <c r="I95" s="25" t="n">
        <f aca="false">COUNTIF(D95:H95,"Selesai")/COLUMNS(D95:H95)</f>
        <v>0</v>
      </c>
      <c r="J95" s="22" t="str">
        <f aca="false">IF(I95=1,"Selesai",IF(I95=0,"Belum mulai","Berjalan"))</f>
        <v>Belum mulai</v>
      </c>
      <c r="K95" s="26" t="n">
        <f aca="false">'Rencana 120 Hari'!S95</f>
        <v>55</v>
      </c>
      <c r="L95" s="27"/>
      <c r="M95" s="27"/>
      <c r="N95" s="28"/>
      <c r="O95" s="24"/>
      <c r="P95" s="24"/>
      <c r="Q95" s="22" t="str">
        <f aca="false">IF(M95="","",IF(M95&lt;=Mulai!$G$7,"Ya","Tidak"))</f>
        <v/>
      </c>
    </row>
    <row r="96" customFormat="false" ht="56" hidden="false" customHeight="true" outlineLevel="0" collapsed="false">
      <c r="A96" s="22" t="n">
        <v>91</v>
      </c>
      <c r="B96" s="23" t="n">
        <f aca="false">Mulai!$C$5+A96-1</f>
        <v>46362</v>
      </c>
      <c r="C96" s="22" t="s">
        <v>159</v>
      </c>
      <c r="D96" s="24" t="s">
        <v>69</v>
      </c>
      <c r="E96" s="24" t="s">
        <v>69</v>
      </c>
      <c r="F96" s="24" t="s">
        <v>69</v>
      </c>
      <c r="G96" s="24" t="s">
        <v>69</v>
      </c>
      <c r="H96" s="24" t="s">
        <v>69</v>
      </c>
      <c r="I96" s="25" t="n">
        <f aca="false">COUNTIF(D96:H96,"Selesai")/COLUMNS(D96:H96)</f>
        <v>0</v>
      </c>
      <c r="J96" s="22" t="str">
        <f aca="false">IF(I96=1,"Selesai",IF(I96=0,"Belum mulai","Berjalan"))</f>
        <v>Belum mulai</v>
      </c>
      <c r="K96" s="26" t="n">
        <f aca="false">'Rencana 120 Hari'!S96</f>
        <v>55</v>
      </c>
      <c r="L96" s="27"/>
      <c r="M96" s="27"/>
      <c r="N96" s="28"/>
      <c r="O96" s="24"/>
      <c r="P96" s="24"/>
      <c r="Q96" s="22" t="str">
        <f aca="false">IF(M96="","",IF(M96&lt;=Mulai!$G$7,"Ya","Tidak"))</f>
        <v/>
      </c>
    </row>
    <row r="97" customFormat="false" ht="56" hidden="false" customHeight="true" outlineLevel="0" collapsed="false">
      <c r="A97" s="22" t="n">
        <v>92</v>
      </c>
      <c r="B97" s="23" t="n">
        <f aca="false">Mulai!$C$5+A97-1</f>
        <v>46363</v>
      </c>
      <c r="C97" s="22" t="s">
        <v>160</v>
      </c>
      <c r="D97" s="24" t="s">
        <v>69</v>
      </c>
      <c r="E97" s="24" t="s">
        <v>69</v>
      </c>
      <c r="F97" s="24" t="s">
        <v>69</v>
      </c>
      <c r="G97" s="24" t="s">
        <v>69</v>
      </c>
      <c r="H97" s="24" t="s">
        <v>69</v>
      </c>
      <c r="I97" s="25" t="n">
        <f aca="false">COUNTIF(D97:H97,"Selesai")/COLUMNS(D97:H97)</f>
        <v>0</v>
      </c>
      <c r="J97" s="22" t="str">
        <f aca="false">IF(I97=1,"Selesai",IF(I97=0,"Belum mulai","Berjalan"))</f>
        <v>Belum mulai</v>
      </c>
      <c r="K97" s="26" t="n">
        <f aca="false">'Rencana 120 Hari'!S97</f>
        <v>55</v>
      </c>
      <c r="L97" s="27"/>
      <c r="M97" s="27"/>
      <c r="N97" s="28"/>
      <c r="O97" s="24"/>
      <c r="P97" s="24"/>
      <c r="Q97" s="22" t="str">
        <f aca="false">IF(M97="","",IF(M97&lt;=Mulai!$G$7,"Ya","Tidak"))</f>
        <v/>
      </c>
    </row>
    <row r="98" customFormat="false" ht="56" hidden="false" customHeight="true" outlineLevel="0" collapsed="false">
      <c r="A98" s="22" t="n">
        <v>93</v>
      </c>
      <c r="B98" s="23" t="n">
        <f aca="false">Mulai!$C$5+A98-1</f>
        <v>46364</v>
      </c>
      <c r="C98" s="22" t="s">
        <v>161</v>
      </c>
      <c r="D98" s="24" t="s">
        <v>69</v>
      </c>
      <c r="E98" s="24" t="s">
        <v>69</v>
      </c>
      <c r="F98" s="24" t="s">
        <v>69</v>
      </c>
      <c r="G98" s="24" t="s">
        <v>69</v>
      </c>
      <c r="H98" s="24" t="s">
        <v>69</v>
      </c>
      <c r="I98" s="25" t="n">
        <f aca="false">COUNTIF(D98:H98,"Selesai")/COLUMNS(D98:H98)</f>
        <v>0</v>
      </c>
      <c r="J98" s="22" t="str">
        <f aca="false">IF(I98=1,"Selesai",IF(I98=0,"Belum mulai","Berjalan"))</f>
        <v>Belum mulai</v>
      </c>
      <c r="K98" s="26" t="n">
        <f aca="false">'Rencana 120 Hari'!S98</f>
        <v>55</v>
      </c>
      <c r="L98" s="27"/>
      <c r="M98" s="27"/>
      <c r="N98" s="28"/>
      <c r="O98" s="24"/>
      <c r="P98" s="24"/>
      <c r="Q98" s="22" t="str">
        <f aca="false">IF(M98="","",IF(M98&lt;=Mulai!$G$7,"Ya","Tidak"))</f>
        <v/>
      </c>
    </row>
    <row r="99" customFormat="false" ht="56" hidden="false" customHeight="true" outlineLevel="0" collapsed="false">
      <c r="A99" s="22" t="n">
        <v>94</v>
      </c>
      <c r="B99" s="23" t="n">
        <f aca="false">Mulai!$C$5+A99-1</f>
        <v>46365</v>
      </c>
      <c r="C99" s="22" t="s">
        <v>162</v>
      </c>
      <c r="D99" s="24" t="s">
        <v>69</v>
      </c>
      <c r="E99" s="24" t="s">
        <v>69</v>
      </c>
      <c r="F99" s="24" t="s">
        <v>69</v>
      </c>
      <c r="G99" s="24" t="s">
        <v>69</v>
      </c>
      <c r="H99" s="24" t="s">
        <v>69</v>
      </c>
      <c r="I99" s="25" t="n">
        <f aca="false">COUNTIF(D99:H99,"Selesai")/COLUMNS(D99:H99)</f>
        <v>0</v>
      </c>
      <c r="J99" s="22" t="str">
        <f aca="false">IF(I99=1,"Selesai",IF(I99=0,"Belum mulai","Berjalan"))</f>
        <v>Belum mulai</v>
      </c>
      <c r="K99" s="26" t="n">
        <f aca="false">'Rencana 120 Hari'!S99</f>
        <v>55</v>
      </c>
      <c r="L99" s="27"/>
      <c r="M99" s="27"/>
      <c r="N99" s="28"/>
      <c r="O99" s="24"/>
      <c r="P99" s="24"/>
      <c r="Q99" s="22" t="str">
        <f aca="false">IF(M99="","",IF(M99&lt;=Mulai!$G$7,"Ya","Tidak"))</f>
        <v/>
      </c>
    </row>
    <row r="100" customFormat="false" ht="56" hidden="false" customHeight="true" outlineLevel="0" collapsed="false">
      <c r="A100" s="22" t="n">
        <v>95</v>
      </c>
      <c r="B100" s="23" t="n">
        <f aca="false">Mulai!$C$5+A100-1</f>
        <v>46366</v>
      </c>
      <c r="C100" s="22" t="s">
        <v>163</v>
      </c>
      <c r="D100" s="24" t="s">
        <v>69</v>
      </c>
      <c r="E100" s="24" t="s">
        <v>69</v>
      </c>
      <c r="F100" s="24" t="s">
        <v>69</v>
      </c>
      <c r="G100" s="24" t="s">
        <v>69</v>
      </c>
      <c r="H100" s="24" t="s">
        <v>69</v>
      </c>
      <c r="I100" s="25" t="n">
        <f aca="false">COUNTIF(D100:H100,"Selesai")/COLUMNS(D100:H100)</f>
        <v>0</v>
      </c>
      <c r="J100" s="22" t="str">
        <f aca="false">IF(I100=1,"Selesai",IF(I100=0,"Belum mulai","Berjalan"))</f>
        <v>Belum mulai</v>
      </c>
      <c r="K100" s="26" t="n">
        <f aca="false">'Rencana 120 Hari'!S100</f>
        <v>55</v>
      </c>
      <c r="L100" s="27"/>
      <c r="M100" s="27"/>
      <c r="N100" s="28"/>
      <c r="O100" s="24"/>
      <c r="P100" s="24"/>
      <c r="Q100" s="22" t="str">
        <f aca="false">IF(M100="","",IF(M100&lt;=Mulai!$G$7,"Ya","Tidak"))</f>
        <v/>
      </c>
    </row>
    <row r="101" customFormat="false" ht="56" hidden="false" customHeight="true" outlineLevel="0" collapsed="false">
      <c r="A101" s="22" t="n">
        <v>96</v>
      </c>
      <c r="B101" s="23" t="n">
        <f aca="false">Mulai!$C$5+A101-1</f>
        <v>46367</v>
      </c>
      <c r="C101" s="22" t="s">
        <v>164</v>
      </c>
      <c r="D101" s="24" t="s">
        <v>69</v>
      </c>
      <c r="E101" s="24" t="s">
        <v>69</v>
      </c>
      <c r="F101" s="24" t="s">
        <v>69</v>
      </c>
      <c r="G101" s="24" t="s">
        <v>69</v>
      </c>
      <c r="H101" s="24" t="s">
        <v>69</v>
      </c>
      <c r="I101" s="25" t="n">
        <f aca="false">COUNTIF(D101:H101,"Selesai")/COLUMNS(D101:H101)</f>
        <v>0</v>
      </c>
      <c r="J101" s="22" t="str">
        <f aca="false">IF(I101=1,"Selesai",IF(I101=0,"Belum mulai","Berjalan"))</f>
        <v>Belum mulai</v>
      </c>
      <c r="K101" s="26" t="n">
        <f aca="false">'Rencana 120 Hari'!S101</f>
        <v>55</v>
      </c>
      <c r="L101" s="27"/>
      <c r="M101" s="27"/>
      <c r="N101" s="28"/>
      <c r="O101" s="24"/>
      <c r="P101" s="24"/>
      <c r="Q101" s="22" t="str">
        <f aca="false">IF(M101="","",IF(M101&lt;=Mulai!$G$7,"Ya","Tidak"))</f>
        <v/>
      </c>
    </row>
    <row r="102" customFormat="false" ht="56" hidden="false" customHeight="true" outlineLevel="0" collapsed="false">
      <c r="A102" s="22" t="n">
        <v>97</v>
      </c>
      <c r="B102" s="23" t="n">
        <f aca="false">Mulai!$C$5+A102-1</f>
        <v>46368</v>
      </c>
      <c r="C102" s="22" t="s">
        <v>165</v>
      </c>
      <c r="D102" s="24" t="s">
        <v>69</v>
      </c>
      <c r="E102" s="24" t="s">
        <v>69</v>
      </c>
      <c r="F102" s="24" t="s">
        <v>69</v>
      </c>
      <c r="G102" s="24" t="s">
        <v>69</v>
      </c>
      <c r="H102" s="24" t="s">
        <v>69</v>
      </c>
      <c r="I102" s="25" t="n">
        <f aca="false">COUNTIF(D102:H102,"Selesai")/COLUMNS(D102:H102)</f>
        <v>0</v>
      </c>
      <c r="J102" s="22" t="str">
        <f aca="false">IF(I102=1,"Selesai",IF(I102=0,"Belum mulai","Berjalan"))</f>
        <v>Belum mulai</v>
      </c>
      <c r="K102" s="26" t="n">
        <f aca="false">'Rencana 120 Hari'!S102</f>
        <v>55</v>
      </c>
      <c r="L102" s="27"/>
      <c r="M102" s="27"/>
      <c r="N102" s="28"/>
      <c r="O102" s="24"/>
      <c r="P102" s="24"/>
      <c r="Q102" s="22" t="str">
        <f aca="false">IF(M102="","",IF(M102&lt;=Mulai!$G$7,"Ya","Tidak"))</f>
        <v/>
      </c>
    </row>
    <row r="103" customFormat="false" ht="56" hidden="false" customHeight="true" outlineLevel="0" collapsed="false">
      <c r="A103" s="22" t="n">
        <v>98</v>
      </c>
      <c r="B103" s="23" t="n">
        <f aca="false">Mulai!$C$5+A103-1</f>
        <v>46369</v>
      </c>
      <c r="C103" s="22" t="s">
        <v>166</v>
      </c>
      <c r="D103" s="24" t="s">
        <v>69</v>
      </c>
      <c r="E103" s="24" t="s">
        <v>69</v>
      </c>
      <c r="F103" s="24" t="s">
        <v>69</v>
      </c>
      <c r="G103" s="24" t="s">
        <v>69</v>
      </c>
      <c r="H103" s="24" t="s">
        <v>69</v>
      </c>
      <c r="I103" s="25" t="n">
        <f aca="false">COUNTIF(D103:H103,"Selesai")/COLUMNS(D103:H103)</f>
        <v>0</v>
      </c>
      <c r="J103" s="22" t="str">
        <f aca="false">IF(I103=1,"Selesai",IF(I103=0,"Belum mulai","Berjalan"))</f>
        <v>Belum mulai</v>
      </c>
      <c r="K103" s="26" t="n">
        <f aca="false">'Rencana 120 Hari'!S103</f>
        <v>55</v>
      </c>
      <c r="L103" s="27"/>
      <c r="M103" s="27"/>
      <c r="N103" s="28"/>
      <c r="O103" s="24"/>
      <c r="P103" s="24"/>
      <c r="Q103" s="22" t="str">
        <f aca="false">IF(M103="","",IF(M103&lt;=Mulai!$G$7,"Ya","Tidak"))</f>
        <v/>
      </c>
    </row>
    <row r="104" customFormat="false" ht="56" hidden="false" customHeight="true" outlineLevel="0" collapsed="false">
      <c r="A104" s="22" t="n">
        <v>99</v>
      </c>
      <c r="B104" s="23" t="n">
        <f aca="false">Mulai!$C$5+A104-1</f>
        <v>46370</v>
      </c>
      <c r="C104" s="22" t="s">
        <v>167</v>
      </c>
      <c r="D104" s="24" t="s">
        <v>69</v>
      </c>
      <c r="E104" s="24" t="s">
        <v>69</v>
      </c>
      <c r="F104" s="24" t="s">
        <v>69</v>
      </c>
      <c r="G104" s="24" t="s">
        <v>69</v>
      </c>
      <c r="H104" s="24" t="s">
        <v>69</v>
      </c>
      <c r="I104" s="25" t="n">
        <f aca="false">COUNTIF(D104:H104,"Selesai")/COLUMNS(D104:H104)</f>
        <v>0</v>
      </c>
      <c r="J104" s="22" t="str">
        <f aca="false">IF(I104=1,"Selesai",IF(I104=0,"Belum mulai","Berjalan"))</f>
        <v>Belum mulai</v>
      </c>
      <c r="K104" s="26" t="n">
        <f aca="false">'Rencana 120 Hari'!S104</f>
        <v>55</v>
      </c>
      <c r="L104" s="27"/>
      <c r="M104" s="27"/>
      <c r="N104" s="28"/>
      <c r="O104" s="24"/>
      <c r="P104" s="24"/>
      <c r="Q104" s="22" t="str">
        <f aca="false">IF(M104="","",IF(M104&lt;=Mulai!$G$7,"Ya","Tidak"))</f>
        <v/>
      </c>
    </row>
    <row r="105" customFormat="false" ht="56" hidden="false" customHeight="true" outlineLevel="0" collapsed="false">
      <c r="A105" s="22" t="n">
        <v>100</v>
      </c>
      <c r="B105" s="23" t="n">
        <f aca="false">Mulai!$C$5+A105-1</f>
        <v>46371</v>
      </c>
      <c r="C105" s="22" t="s">
        <v>168</v>
      </c>
      <c r="D105" s="24" t="s">
        <v>69</v>
      </c>
      <c r="E105" s="24" t="s">
        <v>69</v>
      </c>
      <c r="F105" s="24" t="s">
        <v>69</v>
      </c>
      <c r="G105" s="24" t="s">
        <v>69</v>
      </c>
      <c r="H105" s="24" t="s">
        <v>69</v>
      </c>
      <c r="I105" s="25" t="n">
        <f aca="false">COUNTIF(D105:H105,"Selesai")/COLUMNS(D105:H105)</f>
        <v>0</v>
      </c>
      <c r="J105" s="22" t="str">
        <f aca="false">IF(I105=1,"Selesai",IF(I105=0,"Belum mulai","Berjalan"))</f>
        <v>Belum mulai</v>
      </c>
      <c r="K105" s="26" t="n">
        <f aca="false">'Rencana 120 Hari'!S105</f>
        <v>55</v>
      </c>
      <c r="L105" s="27"/>
      <c r="M105" s="27"/>
      <c r="N105" s="28"/>
      <c r="O105" s="24"/>
      <c r="P105" s="24"/>
      <c r="Q105" s="22" t="str">
        <f aca="false">IF(M105="","",IF(M105&lt;=Mulai!$G$7,"Ya","Tidak"))</f>
        <v/>
      </c>
    </row>
    <row r="106" customFormat="false" ht="56" hidden="false" customHeight="true" outlineLevel="0" collapsed="false">
      <c r="A106" s="22" t="n">
        <v>101</v>
      </c>
      <c r="B106" s="23" t="n">
        <f aca="false">Mulai!$C$5+A106-1</f>
        <v>46372</v>
      </c>
      <c r="C106" s="22" t="s">
        <v>169</v>
      </c>
      <c r="D106" s="24" t="s">
        <v>69</v>
      </c>
      <c r="E106" s="24" t="s">
        <v>69</v>
      </c>
      <c r="F106" s="24" t="s">
        <v>69</v>
      </c>
      <c r="G106" s="24" t="s">
        <v>69</v>
      </c>
      <c r="H106" s="24" t="s">
        <v>69</v>
      </c>
      <c r="I106" s="25" t="n">
        <f aca="false">COUNTIF(D106:H106,"Selesai")/COLUMNS(D106:H106)</f>
        <v>0</v>
      </c>
      <c r="J106" s="22" t="str">
        <f aca="false">IF(I106=1,"Selesai",IF(I106=0,"Belum mulai","Berjalan"))</f>
        <v>Belum mulai</v>
      </c>
      <c r="K106" s="26" t="n">
        <f aca="false">'Rencana 120 Hari'!S106</f>
        <v>55</v>
      </c>
      <c r="L106" s="27"/>
      <c r="M106" s="27"/>
      <c r="N106" s="28"/>
      <c r="O106" s="24"/>
      <c r="P106" s="24"/>
      <c r="Q106" s="22" t="str">
        <f aca="false">IF(M106="","",IF(M106&lt;=Mulai!$G$7,"Ya","Tidak"))</f>
        <v/>
      </c>
    </row>
    <row r="107" customFormat="false" ht="56" hidden="false" customHeight="true" outlineLevel="0" collapsed="false">
      <c r="A107" s="22" t="n">
        <v>102</v>
      </c>
      <c r="B107" s="23" t="n">
        <f aca="false">Mulai!$C$5+A107-1</f>
        <v>46373</v>
      </c>
      <c r="C107" s="22" t="s">
        <v>170</v>
      </c>
      <c r="D107" s="24" t="s">
        <v>69</v>
      </c>
      <c r="E107" s="24" t="s">
        <v>69</v>
      </c>
      <c r="F107" s="24" t="s">
        <v>69</v>
      </c>
      <c r="G107" s="24" t="s">
        <v>69</v>
      </c>
      <c r="H107" s="24" t="s">
        <v>69</v>
      </c>
      <c r="I107" s="25" t="n">
        <f aca="false">COUNTIF(D107:H107,"Selesai")/COLUMNS(D107:H107)</f>
        <v>0</v>
      </c>
      <c r="J107" s="22" t="str">
        <f aca="false">IF(I107=1,"Selesai",IF(I107=0,"Belum mulai","Berjalan"))</f>
        <v>Belum mulai</v>
      </c>
      <c r="K107" s="26" t="n">
        <f aca="false">'Rencana 120 Hari'!S107</f>
        <v>55</v>
      </c>
      <c r="L107" s="27"/>
      <c r="M107" s="27"/>
      <c r="N107" s="28"/>
      <c r="O107" s="24"/>
      <c r="P107" s="24"/>
      <c r="Q107" s="22" t="str">
        <f aca="false">IF(M107="","",IF(M107&lt;=Mulai!$G$7,"Ya","Tidak"))</f>
        <v/>
      </c>
    </row>
    <row r="108" customFormat="false" ht="56" hidden="false" customHeight="true" outlineLevel="0" collapsed="false">
      <c r="A108" s="22" t="n">
        <v>103</v>
      </c>
      <c r="B108" s="23" t="n">
        <f aca="false">Mulai!$C$5+A108-1</f>
        <v>46374</v>
      </c>
      <c r="C108" s="22" t="s">
        <v>171</v>
      </c>
      <c r="D108" s="24" t="s">
        <v>69</v>
      </c>
      <c r="E108" s="24" t="s">
        <v>69</v>
      </c>
      <c r="F108" s="24" t="s">
        <v>69</v>
      </c>
      <c r="G108" s="24" t="s">
        <v>69</v>
      </c>
      <c r="H108" s="24" t="s">
        <v>69</v>
      </c>
      <c r="I108" s="25" t="n">
        <f aca="false">COUNTIF(D108:H108,"Selesai")/COLUMNS(D108:H108)</f>
        <v>0</v>
      </c>
      <c r="J108" s="22" t="str">
        <f aca="false">IF(I108=1,"Selesai",IF(I108=0,"Belum mulai","Berjalan"))</f>
        <v>Belum mulai</v>
      </c>
      <c r="K108" s="26" t="n">
        <f aca="false">'Rencana 120 Hari'!S108</f>
        <v>55</v>
      </c>
      <c r="L108" s="27"/>
      <c r="M108" s="27"/>
      <c r="N108" s="28"/>
      <c r="O108" s="24"/>
      <c r="P108" s="24"/>
      <c r="Q108" s="22" t="str">
        <f aca="false">IF(M108="","",IF(M108&lt;=Mulai!$G$7,"Ya","Tidak"))</f>
        <v/>
      </c>
    </row>
    <row r="109" customFormat="false" ht="56" hidden="false" customHeight="true" outlineLevel="0" collapsed="false">
      <c r="A109" s="22" t="n">
        <v>104</v>
      </c>
      <c r="B109" s="23" t="n">
        <f aca="false">Mulai!$C$5+A109-1</f>
        <v>46375</v>
      </c>
      <c r="C109" s="22" t="s">
        <v>172</v>
      </c>
      <c r="D109" s="24" t="s">
        <v>69</v>
      </c>
      <c r="E109" s="24" t="s">
        <v>69</v>
      </c>
      <c r="F109" s="24" t="s">
        <v>69</v>
      </c>
      <c r="G109" s="24" t="s">
        <v>69</v>
      </c>
      <c r="H109" s="24" t="s">
        <v>69</v>
      </c>
      <c r="I109" s="25" t="n">
        <f aca="false">COUNTIF(D109:H109,"Selesai")/COLUMNS(D109:H109)</f>
        <v>0</v>
      </c>
      <c r="J109" s="22" t="str">
        <f aca="false">IF(I109=1,"Selesai",IF(I109=0,"Belum mulai","Berjalan"))</f>
        <v>Belum mulai</v>
      </c>
      <c r="K109" s="26" t="n">
        <f aca="false">'Rencana 120 Hari'!S109</f>
        <v>55</v>
      </c>
      <c r="L109" s="27"/>
      <c r="M109" s="27"/>
      <c r="N109" s="28"/>
      <c r="O109" s="24"/>
      <c r="P109" s="24"/>
      <c r="Q109" s="22" t="str">
        <f aca="false">IF(M109="","",IF(M109&lt;=Mulai!$G$7,"Ya","Tidak"))</f>
        <v/>
      </c>
    </row>
    <row r="110" customFormat="false" ht="56" hidden="false" customHeight="true" outlineLevel="0" collapsed="false">
      <c r="A110" s="22" t="n">
        <v>105</v>
      </c>
      <c r="B110" s="23" t="n">
        <f aca="false">Mulai!$C$5+A110-1</f>
        <v>46376</v>
      </c>
      <c r="C110" s="22" t="s">
        <v>173</v>
      </c>
      <c r="D110" s="24" t="s">
        <v>69</v>
      </c>
      <c r="E110" s="24" t="s">
        <v>69</v>
      </c>
      <c r="F110" s="24" t="s">
        <v>69</v>
      </c>
      <c r="G110" s="24" t="s">
        <v>69</v>
      </c>
      <c r="H110" s="24" t="s">
        <v>69</v>
      </c>
      <c r="I110" s="25" t="n">
        <f aca="false">COUNTIF(D110:H110,"Selesai")/COLUMNS(D110:H110)</f>
        <v>0</v>
      </c>
      <c r="J110" s="22" t="str">
        <f aca="false">IF(I110=1,"Selesai",IF(I110=0,"Belum mulai","Berjalan"))</f>
        <v>Belum mulai</v>
      </c>
      <c r="K110" s="26" t="n">
        <f aca="false">'Rencana 120 Hari'!S110</f>
        <v>55</v>
      </c>
      <c r="L110" s="27"/>
      <c r="M110" s="27"/>
      <c r="N110" s="28"/>
      <c r="O110" s="24"/>
      <c r="P110" s="24"/>
      <c r="Q110" s="22" t="str">
        <f aca="false">IF(M110="","",IF(M110&lt;=Mulai!$G$7,"Ya","Tidak"))</f>
        <v/>
      </c>
    </row>
    <row r="111" customFormat="false" ht="56" hidden="false" customHeight="true" outlineLevel="0" collapsed="false">
      <c r="A111" s="22" t="n">
        <v>106</v>
      </c>
      <c r="B111" s="23" t="n">
        <f aca="false">Mulai!$C$5+A111-1</f>
        <v>46377</v>
      </c>
      <c r="C111" s="22" t="s">
        <v>174</v>
      </c>
      <c r="D111" s="24" t="s">
        <v>69</v>
      </c>
      <c r="E111" s="24" t="s">
        <v>69</v>
      </c>
      <c r="F111" s="24" t="s">
        <v>69</v>
      </c>
      <c r="G111" s="24" t="s">
        <v>69</v>
      </c>
      <c r="H111" s="24" t="s">
        <v>69</v>
      </c>
      <c r="I111" s="25" t="n">
        <f aca="false">COUNTIF(D111:H111,"Selesai")/COLUMNS(D111:H111)</f>
        <v>0</v>
      </c>
      <c r="J111" s="22" t="str">
        <f aca="false">IF(I111=1,"Selesai",IF(I111=0,"Belum mulai","Berjalan"))</f>
        <v>Belum mulai</v>
      </c>
      <c r="K111" s="26" t="n">
        <f aca="false">'Rencana 120 Hari'!S111</f>
        <v>55</v>
      </c>
      <c r="L111" s="27"/>
      <c r="M111" s="27"/>
      <c r="N111" s="28"/>
      <c r="O111" s="24"/>
      <c r="P111" s="24"/>
      <c r="Q111" s="22" t="str">
        <f aca="false">IF(M111="","",IF(M111&lt;=Mulai!$G$7,"Ya","Tidak"))</f>
        <v/>
      </c>
    </row>
    <row r="112" customFormat="false" ht="56" hidden="false" customHeight="true" outlineLevel="0" collapsed="false">
      <c r="A112" s="22" t="n">
        <v>107</v>
      </c>
      <c r="B112" s="23" t="n">
        <f aca="false">Mulai!$C$5+A112-1</f>
        <v>46378</v>
      </c>
      <c r="C112" s="22" t="s">
        <v>175</v>
      </c>
      <c r="D112" s="24" t="s">
        <v>69</v>
      </c>
      <c r="E112" s="24" t="s">
        <v>69</v>
      </c>
      <c r="F112" s="24" t="s">
        <v>69</v>
      </c>
      <c r="G112" s="24" t="s">
        <v>69</v>
      </c>
      <c r="H112" s="24" t="s">
        <v>69</v>
      </c>
      <c r="I112" s="25" t="n">
        <f aca="false">COUNTIF(D112:H112,"Selesai")/COLUMNS(D112:H112)</f>
        <v>0</v>
      </c>
      <c r="J112" s="22" t="str">
        <f aca="false">IF(I112=1,"Selesai",IF(I112=0,"Belum mulai","Berjalan"))</f>
        <v>Belum mulai</v>
      </c>
      <c r="K112" s="26" t="n">
        <f aca="false">'Rencana 120 Hari'!S112</f>
        <v>55</v>
      </c>
      <c r="L112" s="27"/>
      <c r="M112" s="27"/>
      <c r="N112" s="28"/>
      <c r="O112" s="24"/>
      <c r="P112" s="24"/>
      <c r="Q112" s="22" t="str">
        <f aca="false">IF(M112="","",IF(M112&lt;=Mulai!$G$7,"Ya","Tidak"))</f>
        <v/>
      </c>
    </row>
    <row r="113" customFormat="false" ht="56" hidden="false" customHeight="true" outlineLevel="0" collapsed="false">
      <c r="A113" s="22" t="n">
        <v>108</v>
      </c>
      <c r="B113" s="23" t="n">
        <f aca="false">Mulai!$C$5+A113-1</f>
        <v>46379</v>
      </c>
      <c r="C113" s="22" t="s">
        <v>176</v>
      </c>
      <c r="D113" s="24" t="s">
        <v>69</v>
      </c>
      <c r="E113" s="24" t="s">
        <v>69</v>
      </c>
      <c r="F113" s="24" t="s">
        <v>69</v>
      </c>
      <c r="G113" s="24" t="s">
        <v>69</v>
      </c>
      <c r="H113" s="24" t="s">
        <v>69</v>
      </c>
      <c r="I113" s="25" t="n">
        <f aca="false">COUNTIF(D113:H113,"Selesai")/COLUMNS(D113:H113)</f>
        <v>0</v>
      </c>
      <c r="J113" s="22" t="str">
        <f aca="false">IF(I113=1,"Selesai",IF(I113=0,"Belum mulai","Berjalan"))</f>
        <v>Belum mulai</v>
      </c>
      <c r="K113" s="26" t="n">
        <f aca="false">'Rencana 120 Hari'!S113</f>
        <v>55</v>
      </c>
      <c r="L113" s="27"/>
      <c r="M113" s="27"/>
      <c r="N113" s="28"/>
      <c r="O113" s="24"/>
      <c r="P113" s="24"/>
      <c r="Q113" s="22" t="str">
        <f aca="false">IF(M113="","",IF(M113&lt;=Mulai!$G$7,"Ya","Tidak"))</f>
        <v/>
      </c>
    </row>
    <row r="114" customFormat="false" ht="56" hidden="false" customHeight="true" outlineLevel="0" collapsed="false">
      <c r="A114" s="22" t="n">
        <v>109</v>
      </c>
      <c r="B114" s="23" t="n">
        <f aca="false">Mulai!$C$5+A114-1</f>
        <v>46380</v>
      </c>
      <c r="C114" s="22" t="s">
        <v>177</v>
      </c>
      <c r="D114" s="24" t="s">
        <v>69</v>
      </c>
      <c r="E114" s="24" t="s">
        <v>69</v>
      </c>
      <c r="F114" s="24" t="s">
        <v>69</v>
      </c>
      <c r="G114" s="24" t="s">
        <v>69</v>
      </c>
      <c r="H114" s="24" t="s">
        <v>69</v>
      </c>
      <c r="I114" s="25" t="n">
        <f aca="false">COUNTIF(D114:H114,"Selesai")/COLUMNS(D114:H114)</f>
        <v>0</v>
      </c>
      <c r="J114" s="22" t="str">
        <f aca="false">IF(I114=1,"Selesai",IF(I114=0,"Belum mulai","Berjalan"))</f>
        <v>Belum mulai</v>
      </c>
      <c r="K114" s="26" t="n">
        <f aca="false">'Rencana 120 Hari'!S114</f>
        <v>55</v>
      </c>
      <c r="L114" s="27"/>
      <c r="M114" s="27"/>
      <c r="N114" s="28"/>
      <c r="O114" s="24"/>
      <c r="P114" s="24"/>
      <c r="Q114" s="22" t="str">
        <f aca="false">IF(M114="","",IF(M114&lt;=Mulai!$G$7,"Ya","Tidak"))</f>
        <v/>
      </c>
    </row>
    <row r="115" customFormat="false" ht="56" hidden="false" customHeight="true" outlineLevel="0" collapsed="false">
      <c r="A115" s="22" t="n">
        <v>110</v>
      </c>
      <c r="B115" s="23" t="n">
        <f aca="false">Mulai!$C$5+A115-1</f>
        <v>46381</v>
      </c>
      <c r="C115" s="22" t="s">
        <v>178</v>
      </c>
      <c r="D115" s="24" t="s">
        <v>69</v>
      </c>
      <c r="E115" s="24" t="s">
        <v>69</v>
      </c>
      <c r="F115" s="24" t="s">
        <v>69</v>
      </c>
      <c r="G115" s="24" t="s">
        <v>69</v>
      </c>
      <c r="H115" s="24" t="s">
        <v>69</v>
      </c>
      <c r="I115" s="25" t="n">
        <f aca="false">COUNTIF(D115:H115,"Selesai")/COLUMNS(D115:H115)</f>
        <v>0</v>
      </c>
      <c r="J115" s="22" t="str">
        <f aca="false">IF(I115=1,"Selesai",IF(I115=0,"Belum mulai","Berjalan"))</f>
        <v>Belum mulai</v>
      </c>
      <c r="K115" s="26" t="n">
        <f aca="false">'Rencana 120 Hari'!S115</f>
        <v>55</v>
      </c>
      <c r="L115" s="27"/>
      <c r="M115" s="27"/>
      <c r="N115" s="28"/>
      <c r="O115" s="24"/>
      <c r="P115" s="24"/>
      <c r="Q115" s="22" t="str">
        <f aca="false">IF(M115="","",IF(M115&lt;=Mulai!$G$7,"Ya","Tidak"))</f>
        <v/>
      </c>
    </row>
    <row r="116" customFormat="false" ht="56" hidden="false" customHeight="true" outlineLevel="0" collapsed="false">
      <c r="A116" s="22" t="n">
        <v>111</v>
      </c>
      <c r="B116" s="23" t="n">
        <f aca="false">Mulai!$C$5+A116-1</f>
        <v>46382</v>
      </c>
      <c r="C116" s="22" t="s">
        <v>179</v>
      </c>
      <c r="D116" s="24" t="s">
        <v>69</v>
      </c>
      <c r="E116" s="24" t="s">
        <v>69</v>
      </c>
      <c r="F116" s="24" t="s">
        <v>69</v>
      </c>
      <c r="G116" s="24" t="s">
        <v>69</v>
      </c>
      <c r="H116" s="24" t="s">
        <v>69</v>
      </c>
      <c r="I116" s="25" t="n">
        <f aca="false">COUNTIF(D116:H116,"Selesai")/COLUMNS(D116:H116)</f>
        <v>0</v>
      </c>
      <c r="J116" s="22" t="str">
        <f aca="false">IF(I116=1,"Selesai",IF(I116=0,"Belum mulai","Berjalan"))</f>
        <v>Belum mulai</v>
      </c>
      <c r="K116" s="26" t="n">
        <f aca="false">'Rencana 120 Hari'!S116</f>
        <v>55</v>
      </c>
      <c r="L116" s="27"/>
      <c r="M116" s="27"/>
      <c r="N116" s="28"/>
      <c r="O116" s="24"/>
      <c r="P116" s="24"/>
      <c r="Q116" s="22" t="str">
        <f aca="false">IF(M116="","",IF(M116&lt;=Mulai!$G$7,"Ya","Tidak"))</f>
        <v/>
      </c>
    </row>
    <row r="117" customFormat="false" ht="56" hidden="false" customHeight="true" outlineLevel="0" collapsed="false">
      <c r="A117" s="22" t="n">
        <v>112</v>
      </c>
      <c r="B117" s="23" t="n">
        <f aca="false">Mulai!$C$5+A117-1</f>
        <v>46383</v>
      </c>
      <c r="C117" s="22" t="s">
        <v>180</v>
      </c>
      <c r="D117" s="24" t="s">
        <v>69</v>
      </c>
      <c r="E117" s="24" t="s">
        <v>69</v>
      </c>
      <c r="F117" s="24" t="s">
        <v>69</v>
      </c>
      <c r="G117" s="24" t="s">
        <v>69</v>
      </c>
      <c r="H117" s="24" t="s">
        <v>69</v>
      </c>
      <c r="I117" s="25" t="n">
        <f aca="false">COUNTIF(D117:H117,"Selesai")/COLUMNS(D117:H117)</f>
        <v>0</v>
      </c>
      <c r="J117" s="22" t="str">
        <f aca="false">IF(I117=1,"Selesai",IF(I117=0,"Belum mulai","Berjalan"))</f>
        <v>Belum mulai</v>
      </c>
      <c r="K117" s="26" t="n">
        <f aca="false">'Rencana 120 Hari'!S117</f>
        <v>55</v>
      </c>
      <c r="L117" s="27"/>
      <c r="M117" s="27"/>
      <c r="N117" s="28"/>
      <c r="O117" s="24"/>
      <c r="P117" s="24"/>
      <c r="Q117" s="22" t="str">
        <f aca="false">IF(M117="","",IF(M117&lt;=Mulai!$G$7,"Ya","Tidak"))</f>
        <v/>
      </c>
    </row>
    <row r="118" customFormat="false" ht="56" hidden="false" customHeight="true" outlineLevel="0" collapsed="false">
      <c r="A118" s="22" t="n">
        <v>113</v>
      </c>
      <c r="B118" s="23" t="n">
        <f aca="false">Mulai!$C$5+A118-1</f>
        <v>46384</v>
      </c>
      <c r="C118" s="22" t="s">
        <v>181</v>
      </c>
      <c r="D118" s="24" t="s">
        <v>69</v>
      </c>
      <c r="E118" s="24" t="s">
        <v>69</v>
      </c>
      <c r="F118" s="24" t="s">
        <v>69</v>
      </c>
      <c r="G118" s="24" t="s">
        <v>69</v>
      </c>
      <c r="H118" s="24" t="s">
        <v>69</v>
      </c>
      <c r="I118" s="25" t="n">
        <f aca="false">COUNTIF(D118:H118,"Selesai")/COLUMNS(D118:H118)</f>
        <v>0</v>
      </c>
      <c r="J118" s="22" t="str">
        <f aca="false">IF(I118=1,"Selesai",IF(I118=0,"Belum mulai","Berjalan"))</f>
        <v>Belum mulai</v>
      </c>
      <c r="K118" s="26" t="n">
        <f aca="false">'Rencana 120 Hari'!S118</f>
        <v>55</v>
      </c>
      <c r="L118" s="27"/>
      <c r="M118" s="27"/>
      <c r="N118" s="28"/>
      <c r="O118" s="24"/>
      <c r="P118" s="24"/>
      <c r="Q118" s="22" t="str">
        <f aca="false">IF(M118="","",IF(M118&lt;=Mulai!$G$7,"Ya","Tidak"))</f>
        <v/>
      </c>
    </row>
    <row r="119" customFormat="false" ht="56" hidden="false" customHeight="true" outlineLevel="0" collapsed="false">
      <c r="A119" s="22" t="n">
        <v>114</v>
      </c>
      <c r="B119" s="23" t="n">
        <f aca="false">Mulai!$C$5+A119-1</f>
        <v>46385</v>
      </c>
      <c r="C119" s="22" t="s">
        <v>182</v>
      </c>
      <c r="D119" s="24" t="s">
        <v>69</v>
      </c>
      <c r="E119" s="24" t="s">
        <v>69</v>
      </c>
      <c r="F119" s="24" t="s">
        <v>69</v>
      </c>
      <c r="G119" s="24" t="s">
        <v>69</v>
      </c>
      <c r="H119" s="24" t="s">
        <v>69</v>
      </c>
      <c r="I119" s="25" t="n">
        <f aca="false">COUNTIF(D119:H119,"Selesai")/COLUMNS(D119:H119)</f>
        <v>0</v>
      </c>
      <c r="J119" s="22" t="str">
        <f aca="false">IF(I119=1,"Selesai",IF(I119=0,"Belum mulai","Berjalan"))</f>
        <v>Belum mulai</v>
      </c>
      <c r="K119" s="26" t="n">
        <f aca="false">'Rencana 120 Hari'!S119</f>
        <v>55</v>
      </c>
      <c r="L119" s="27"/>
      <c r="M119" s="27"/>
      <c r="N119" s="28"/>
      <c r="O119" s="24"/>
      <c r="P119" s="24"/>
      <c r="Q119" s="22" t="str">
        <f aca="false">IF(M119="","",IF(M119&lt;=Mulai!$G$7,"Ya","Tidak"))</f>
        <v/>
      </c>
    </row>
    <row r="120" customFormat="false" ht="56" hidden="false" customHeight="true" outlineLevel="0" collapsed="false">
      <c r="A120" s="22" t="n">
        <v>115</v>
      </c>
      <c r="B120" s="23" t="n">
        <f aca="false">Mulai!$C$5+A120-1</f>
        <v>46386</v>
      </c>
      <c r="C120" s="22" t="s">
        <v>183</v>
      </c>
      <c r="D120" s="24" t="s">
        <v>69</v>
      </c>
      <c r="E120" s="24" t="s">
        <v>69</v>
      </c>
      <c r="F120" s="24" t="s">
        <v>69</v>
      </c>
      <c r="G120" s="24" t="s">
        <v>69</v>
      </c>
      <c r="H120" s="24" t="s">
        <v>69</v>
      </c>
      <c r="I120" s="25" t="n">
        <f aca="false">COUNTIF(D120:H120,"Selesai")/COLUMNS(D120:H120)</f>
        <v>0</v>
      </c>
      <c r="J120" s="22" t="str">
        <f aca="false">IF(I120=1,"Selesai",IF(I120=0,"Belum mulai","Berjalan"))</f>
        <v>Belum mulai</v>
      </c>
      <c r="K120" s="26" t="n">
        <f aca="false">'Rencana 120 Hari'!S120</f>
        <v>55</v>
      </c>
      <c r="L120" s="27"/>
      <c r="M120" s="27"/>
      <c r="N120" s="28"/>
      <c r="O120" s="24"/>
      <c r="P120" s="24"/>
      <c r="Q120" s="22" t="str">
        <f aca="false">IF(M120="","",IF(M120&lt;=Mulai!$G$7,"Ya","Tidak"))</f>
        <v/>
      </c>
    </row>
    <row r="121" customFormat="false" ht="56" hidden="false" customHeight="true" outlineLevel="0" collapsed="false">
      <c r="A121" s="22" t="n">
        <v>116</v>
      </c>
      <c r="B121" s="23" t="n">
        <f aca="false">Mulai!$C$5+A121-1</f>
        <v>46387</v>
      </c>
      <c r="C121" s="22" t="s">
        <v>184</v>
      </c>
      <c r="D121" s="24" t="s">
        <v>69</v>
      </c>
      <c r="E121" s="24" t="s">
        <v>69</v>
      </c>
      <c r="F121" s="24" t="s">
        <v>69</v>
      </c>
      <c r="G121" s="24" t="s">
        <v>69</v>
      </c>
      <c r="H121" s="24" t="s">
        <v>69</v>
      </c>
      <c r="I121" s="25" t="n">
        <f aca="false">COUNTIF(D121:H121,"Selesai")/COLUMNS(D121:H121)</f>
        <v>0</v>
      </c>
      <c r="J121" s="22" t="str">
        <f aca="false">IF(I121=1,"Selesai",IF(I121=0,"Belum mulai","Berjalan"))</f>
        <v>Belum mulai</v>
      </c>
      <c r="K121" s="26" t="n">
        <f aca="false">'Rencana 120 Hari'!S121</f>
        <v>55</v>
      </c>
      <c r="L121" s="27"/>
      <c r="M121" s="27"/>
      <c r="N121" s="28"/>
      <c r="O121" s="24"/>
      <c r="P121" s="24"/>
      <c r="Q121" s="22" t="str">
        <f aca="false">IF(M121="","",IF(M121&lt;=Mulai!$G$7,"Ya","Tidak"))</f>
        <v/>
      </c>
    </row>
    <row r="122" customFormat="false" ht="56" hidden="false" customHeight="true" outlineLevel="0" collapsed="false">
      <c r="A122" s="22" t="n">
        <v>117</v>
      </c>
      <c r="B122" s="23" t="n">
        <f aca="false">Mulai!$C$5+A122-1</f>
        <v>46388</v>
      </c>
      <c r="C122" s="22" t="s">
        <v>185</v>
      </c>
      <c r="D122" s="24" t="s">
        <v>69</v>
      </c>
      <c r="E122" s="24" t="s">
        <v>69</v>
      </c>
      <c r="F122" s="24" t="s">
        <v>69</v>
      </c>
      <c r="G122" s="24" t="s">
        <v>69</v>
      </c>
      <c r="H122" s="24" t="s">
        <v>69</v>
      </c>
      <c r="I122" s="25" t="n">
        <f aca="false">COUNTIF(D122:H122,"Selesai")/COLUMNS(D122:H122)</f>
        <v>0</v>
      </c>
      <c r="J122" s="22" t="str">
        <f aca="false">IF(I122=1,"Selesai",IF(I122=0,"Belum mulai","Berjalan"))</f>
        <v>Belum mulai</v>
      </c>
      <c r="K122" s="26" t="n">
        <f aca="false">'Rencana 120 Hari'!S122</f>
        <v>55</v>
      </c>
      <c r="L122" s="27"/>
      <c r="M122" s="27"/>
      <c r="N122" s="28"/>
      <c r="O122" s="24"/>
      <c r="P122" s="24"/>
      <c r="Q122" s="22" t="str">
        <f aca="false">IF(M122="","",IF(M122&lt;=Mulai!$G$7,"Ya","Tidak"))</f>
        <v/>
      </c>
    </row>
    <row r="123" customFormat="false" ht="56" hidden="false" customHeight="true" outlineLevel="0" collapsed="false">
      <c r="A123" s="22" t="n">
        <v>118</v>
      </c>
      <c r="B123" s="23" t="n">
        <f aca="false">Mulai!$C$5+A123-1</f>
        <v>46389</v>
      </c>
      <c r="C123" s="22" t="s">
        <v>186</v>
      </c>
      <c r="D123" s="24" t="s">
        <v>69</v>
      </c>
      <c r="E123" s="24" t="s">
        <v>69</v>
      </c>
      <c r="F123" s="24" t="s">
        <v>69</v>
      </c>
      <c r="G123" s="24" t="s">
        <v>69</v>
      </c>
      <c r="H123" s="24" t="s">
        <v>69</v>
      </c>
      <c r="I123" s="25" t="n">
        <f aca="false">COUNTIF(D123:H123,"Selesai")/COLUMNS(D123:H123)</f>
        <v>0</v>
      </c>
      <c r="J123" s="22" t="str">
        <f aca="false">IF(I123=1,"Selesai",IF(I123=0,"Belum mulai","Berjalan"))</f>
        <v>Belum mulai</v>
      </c>
      <c r="K123" s="26" t="n">
        <f aca="false">'Rencana 120 Hari'!S123</f>
        <v>55</v>
      </c>
      <c r="L123" s="27"/>
      <c r="M123" s="27"/>
      <c r="N123" s="28"/>
      <c r="O123" s="24"/>
      <c r="P123" s="24"/>
      <c r="Q123" s="22" t="str">
        <f aca="false">IF(M123="","",IF(M123&lt;=Mulai!$G$7,"Ya","Tidak"))</f>
        <v/>
      </c>
    </row>
    <row r="124" customFormat="false" ht="56" hidden="false" customHeight="true" outlineLevel="0" collapsed="false">
      <c r="A124" s="22" t="n">
        <v>119</v>
      </c>
      <c r="B124" s="23" t="n">
        <f aca="false">Mulai!$C$5+A124-1</f>
        <v>46390</v>
      </c>
      <c r="C124" s="22" t="s">
        <v>187</v>
      </c>
      <c r="D124" s="24" t="s">
        <v>69</v>
      </c>
      <c r="E124" s="24" t="s">
        <v>69</v>
      </c>
      <c r="F124" s="24" t="s">
        <v>69</v>
      </c>
      <c r="G124" s="24" t="s">
        <v>69</v>
      </c>
      <c r="H124" s="24" t="s">
        <v>69</v>
      </c>
      <c r="I124" s="25" t="n">
        <f aca="false">COUNTIF(D124:H124,"Selesai")/COLUMNS(D124:H124)</f>
        <v>0</v>
      </c>
      <c r="J124" s="22" t="str">
        <f aca="false">IF(I124=1,"Selesai",IF(I124=0,"Belum mulai","Berjalan"))</f>
        <v>Belum mulai</v>
      </c>
      <c r="K124" s="26" t="n">
        <f aca="false">'Rencana 120 Hari'!S124</f>
        <v>55</v>
      </c>
      <c r="L124" s="27"/>
      <c r="M124" s="27"/>
      <c r="N124" s="28"/>
      <c r="O124" s="24"/>
      <c r="P124" s="24"/>
      <c r="Q124" s="22" t="str">
        <f aca="false">IF(M124="","",IF(M124&lt;=Mulai!$G$7,"Ya","Tidak"))</f>
        <v/>
      </c>
    </row>
    <row r="125" customFormat="false" ht="56" hidden="false" customHeight="true" outlineLevel="0" collapsed="false">
      <c r="A125" s="22" t="n">
        <v>120</v>
      </c>
      <c r="B125" s="23" t="n">
        <f aca="false">Mulai!$C$5+A125-1</f>
        <v>46391</v>
      </c>
      <c r="C125" s="22" t="s">
        <v>188</v>
      </c>
      <c r="D125" s="24" t="s">
        <v>69</v>
      </c>
      <c r="E125" s="24" t="s">
        <v>69</v>
      </c>
      <c r="F125" s="24" t="s">
        <v>69</v>
      </c>
      <c r="G125" s="24" t="s">
        <v>69</v>
      </c>
      <c r="H125" s="24" t="s">
        <v>69</v>
      </c>
      <c r="I125" s="25" t="n">
        <f aca="false">COUNTIF(D125:H125,"Selesai")/COLUMNS(D125:H125)</f>
        <v>0</v>
      </c>
      <c r="J125" s="22" t="str">
        <f aca="false">IF(I125=1,"Selesai",IF(I125=0,"Belum mulai","Berjalan"))</f>
        <v>Belum mulai</v>
      </c>
      <c r="K125" s="26" t="n">
        <f aca="false">'Rencana 120 Hari'!S125</f>
        <v>55</v>
      </c>
      <c r="L125" s="27"/>
      <c r="M125" s="27"/>
      <c r="N125" s="28"/>
      <c r="O125" s="24"/>
      <c r="P125" s="24"/>
      <c r="Q125" s="22" t="str">
        <f aca="false">IF(M125="","",IF(M125&lt;=Mulai!$G$7,"Ya","Tidak"))</f>
        <v/>
      </c>
    </row>
  </sheetData>
  <mergeCells count="2">
    <mergeCell ref="A1:J2"/>
    <mergeCell ref="A3:J3"/>
  </mergeCells>
  <conditionalFormatting sqref="D6:H125">
    <cfRule type="containsText" priority="2" operator="containsText" aboveAverage="0" equalAverage="0" bottom="0" percent="0" rank="0" text="Selesai" dxfId="6">
      <formula>NOT(ISERROR(SEARCH("Selesai",D6)))</formula>
    </cfRule>
  </conditionalFormatting>
  <conditionalFormatting sqref="I6:I125">
    <cfRule type="dataBar" priority="3">
      <dataBar showValue="1" minLength="10" maxLength="90">
        <cfvo type="num" val="0"/>
        <cfvo type="num" val="1"/>
        <color rgb="FF147D79"/>
      </dataBar>
      <extLst>
        <ext xmlns:x14="http://schemas.microsoft.com/office/spreadsheetml/2009/9/main" uri="{B025F937-C7B1-47D3-B67F-A62EFF666E3E}">
          <x14:id>{F82B4DCB-1519-4B69-89E9-59441FE0F080}</x14:id>
        </ext>
      </extLst>
    </cfRule>
  </conditionalFormatting>
  <conditionalFormatting sqref="J6:J125">
    <cfRule type="containsText" priority="4" operator="containsText" aboveAverage="0" equalAverage="0" bottom="0" percent="0" rank="0" text="Selesai" dxfId="7">
      <formula>NOT(ISERROR(SEARCH("Selesai",J6)))</formula>
    </cfRule>
  </conditionalFormatting>
  <conditionalFormatting sqref="Q6:Q125">
    <cfRule type="containsText" priority="5" operator="containsText" aboveAverage="0" equalAverage="0" bottom="0" percent="0" rank="0" text="Ya" dxfId="8">
      <formula>NOT(ISERROR(SEARCH("Ya",Q6)))</formula>
    </cfRule>
  </conditionalFormatting>
  <dataValidations count="3">
    <dataValidation allowBlank="false" errorStyle="stop" operator="between" showDropDown="false" showErrorMessage="false" showInputMessage="false" sqref="D6:H125" type="list">
      <formula1>"Belum,Selesai"</formula1>
      <formula2>0</formula2>
    </dataValidation>
    <dataValidation allowBlank="false" errorStyle="stop" operator="between" showDropDown="false" showErrorMessage="false" showInputMessage="false" sqref="M6:M125" type="whole">
      <formula1>1</formula1>
      <formula2>5</formula2>
    </dataValidation>
    <dataValidation allowBlank="false" errorStyle="stop" operator="between" showDropDown="false" showErrorMessage="false" showInputMessage="false" sqref="L6:L125" type="whole">
      <formula1>0</formula1>
      <formula2>1440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2B4DCB-1519-4B69-89E9-59441FE0F08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47D79"/>
              <x14:axisColor rgb="FF000000"/>
            </x14:dataBar>
          </x14:cfRule>
          <xm:sqref>I6:I125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8" min="3" style="0" width="17"/>
  </cols>
  <sheetData>
    <row r="1" customFormat="false" ht="2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</row>
    <row r="2" customFormat="false" ht="2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32" hidden="false" customHeight="true" outlineLevel="0" collapsed="false">
      <c r="A3" s="2" t="s">
        <v>190</v>
      </c>
      <c r="B3" s="2"/>
      <c r="C3" s="2"/>
      <c r="D3" s="2"/>
      <c r="E3" s="2"/>
      <c r="F3" s="2"/>
      <c r="G3" s="2"/>
      <c r="H3" s="2"/>
    </row>
    <row r="4" customFormat="false" ht="26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34" hidden="false" customHeight="true" outlineLevel="0" collapsed="false">
      <c r="A5" s="29" t="s">
        <v>191</v>
      </c>
      <c r="B5" s="29"/>
      <c r="C5" s="30" t="n">
        <v>1</v>
      </c>
      <c r="D5" s="30"/>
      <c r="E5" s="4" t="s">
        <v>53</v>
      </c>
      <c r="F5" s="4"/>
      <c r="G5" s="6" t="n">
        <f aca="false">Mulai!C5+C5-1</f>
        <v>46272</v>
      </c>
      <c r="H5" s="6"/>
    </row>
    <row r="6" customFormat="false" ht="26" hidden="false" customHeight="tru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4" hidden="false" customHeight="true" outlineLevel="0" collapsed="false">
      <c r="A7" s="31" t="s">
        <v>192</v>
      </c>
      <c r="B7" s="31"/>
      <c r="C7" s="32" t="str">
        <f aca="false">INDEX('Rencana 120 Hari'!$D$6:$D$125,$C$5)</f>
        <v>Alphabet dan mengeja nama</v>
      </c>
      <c r="D7" s="32"/>
      <c r="E7" s="32"/>
      <c r="F7" s="32"/>
      <c r="G7" s="32"/>
      <c r="H7" s="32"/>
    </row>
    <row r="8" customFormat="false" ht="24" hidden="false" customHeight="true" outlineLevel="0" collapsed="false">
      <c r="A8" s="31"/>
      <c r="B8" s="31"/>
      <c r="C8" s="32"/>
      <c r="D8" s="32"/>
      <c r="E8" s="32"/>
      <c r="F8" s="32"/>
      <c r="G8" s="32"/>
      <c r="H8" s="32"/>
    </row>
    <row r="9" customFormat="false" ht="24" hidden="false" customHeight="true" outlineLevel="0" collapsed="false">
      <c r="A9" s="17" t="s">
        <v>193</v>
      </c>
      <c r="B9" s="17"/>
      <c r="C9" s="18" t="str">
        <f aca="false">INDEX('Rencana 120 Hari'!$E$6:$E$125,$C$5)</f>
        <v>Mengeja nama dan mengenali 26 nama huruf.</v>
      </c>
      <c r="D9" s="18"/>
      <c r="E9" s="18"/>
      <c r="F9" s="18"/>
      <c r="G9" s="18"/>
      <c r="H9" s="18"/>
    </row>
    <row r="10" customFormat="false" ht="24" hidden="false" customHeight="true" outlineLevel="0" collapsed="false">
      <c r="A10" s="17"/>
      <c r="B10" s="17"/>
      <c r="C10" s="18"/>
      <c r="D10" s="18"/>
      <c r="E10" s="18"/>
      <c r="F10" s="18"/>
      <c r="G10" s="18"/>
      <c r="H10" s="18"/>
    </row>
    <row r="11" customFormat="false" ht="24" hidden="false" customHeight="true" outlineLevel="0" collapsed="false">
      <c r="A11" s="19" t="s">
        <v>194</v>
      </c>
      <c r="B11" s="19"/>
      <c r="C11" s="20" t="str">
        <f aca="false">INDEX('Rencana 120 Hari'!$G$6:$G$125,$C$5)</f>
        <v>Alphabet adalah kumpulan huruf. Spelling berarti menyebut huruf penyusun kata; nama huruf tidak selalu sama dengan bunyinya di dalam kata.</v>
      </c>
      <c r="D11" s="20"/>
      <c r="E11" s="20"/>
      <c r="F11" s="20"/>
      <c r="G11" s="20"/>
      <c r="H11" s="20"/>
    </row>
    <row r="12" customFormat="false" ht="24" hidden="false" customHeight="true" outlineLevel="0" collapsed="false">
      <c r="A12" s="19"/>
      <c r="B12" s="19"/>
      <c r="C12" s="20"/>
      <c r="D12" s="20"/>
      <c r="E12" s="20"/>
      <c r="F12" s="20"/>
      <c r="G12" s="20"/>
      <c r="H12" s="20"/>
    </row>
    <row r="13" customFormat="false" ht="24" hidden="false" customHeight="true" outlineLevel="0" collapsed="false">
      <c r="A13" s="19"/>
      <c r="B13" s="19"/>
      <c r="C13" s="20"/>
      <c r="D13" s="20"/>
      <c r="E13" s="20"/>
      <c r="F13" s="20"/>
      <c r="G13" s="20"/>
      <c r="H13" s="20"/>
    </row>
    <row r="14" customFormat="false" ht="24" hidden="false" customHeight="true" outlineLevel="0" collapsed="false">
      <c r="A14" s="19"/>
      <c r="B14" s="19"/>
      <c r="C14" s="20"/>
      <c r="D14" s="20"/>
      <c r="E14" s="20"/>
      <c r="F14" s="20"/>
      <c r="G14" s="20"/>
      <c r="H14" s="20"/>
    </row>
    <row r="15" customFormat="false" ht="24" hidden="false" customHeight="true" outlineLevel="0" collapsed="false">
      <c r="A15" s="17" t="s">
        <v>195</v>
      </c>
      <c r="B15" s="17"/>
      <c r="C15" s="18" t="str">
        <f aca="false">INDEX('Rencana 120 Hari'!$H$6:$H$125,$C$5)</f>
        <v>My name is Sam. S-A-M. = Nama saya Sam, dieja S-A-M.</v>
      </c>
      <c r="D15" s="18"/>
      <c r="E15" s="18"/>
      <c r="F15" s="18"/>
      <c r="G15" s="18"/>
      <c r="H15" s="18"/>
    </row>
    <row r="16" customFormat="false" ht="24" hidden="false" customHeight="true" outlineLevel="0" collapsed="false">
      <c r="A16" s="17"/>
      <c r="B16" s="17"/>
      <c r="C16" s="18"/>
      <c r="D16" s="18"/>
      <c r="E16" s="18"/>
      <c r="F16" s="18"/>
      <c r="G16" s="18"/>
      <c r="H16" s="18"/>
    </row>
    <row r="17" customFormat="false" ht="24" hidden="false" customHeight="true" outlineLevel="0" collapsed="false">
      <c r="A17" s="17"/>
      <c r="B17" s="17"/>
      <c r="C17" s="18"/>
      <c r="D17" s="18"/>
      <c r="E17" s="18"/>
      <c r="F17" s="18"/>
      <c r="G17" s="18"/>
      <c r="H17" s="18"/>
    </row>
    <row r="18" customFormat="false" ht="24" hidden="false" customHeight="true" outlineLevel="0" collapsed="false">
      <c r="A18" s="19" t="s">
        <v>196</v>
      </c>
      <c r="B18" s="19"/>
      <c r="C18" s="20" t="str">
        <f aca="false">INDEX('Rencana 120 Hari'!$I$6:$I$125,$C$5)</f>
        <v>name=nama; letter=huruf; spell=mengeja; first=pertama; last=terakhir</v>
      </c>
      <c r="D18" s="20"/>
      <c r="E18" s="20"/>
      <c r="F18" s="20"/>
      <c r="G18" s="20"/>
      <c r="H18" s="20"/>
    </row>
    <row r="19" customFormat="false" ht="24" hidden="false" customHeight="true" outlineLevel="0" collapsed="false">
      <c r="A19" s="19"/>
      <c r="B19" s="19"/>
      <c r="C19" s="20"/>
      <c r="D19" s="20"/>
      <c r="E19" s="20"/>
      <c r="F19" s="20"/>
      <c r="G19" s="20"/>
      <c r="H19" s="20"/>
    </row>
    <row r="20" customFormat="false" ht="24" hidden="false" customHeight="true" outlineLevel="0" collapsed="false">
      <c r="A20" s="19"/>
      <c r="B20" s="19"/>
      <c r="C20" s="20"/>
      <c r="D20" s="20"/>
      <c r="E20" s="20"/>
      <c r="F20" s="20"/>
      <c r="G20" s="20"/>
      <c r="H20" s="20"/>
    </row>
    <row r="21" customFormat="false" ht="24" hidden="false" customHeight="true" outlineLevel="0" collapsed="false">
      <c r="A21" s="17" t="s">
        <v>197</v>
      </c>
      <c r="B21" s="17"/>
      <c r="C21" s="18" t="str">
        <f aca="false">INDEX('Rencana 120 Hari'!$T$6:$T$125,$C$5)</f>
        <v>Pelajari 5 kata/frasa hari ini. Tutup catatan dan sebutkan kembali.</v>
      </c>
      <c r="D21" s="18"/>
      <c r="E21" s="18"/>
      <c r="F21" s="18"/>
      <c r="G21" s="18"/>
      <c r="H21" s="18"/>
    </row>
    <row r="22" customFormat="false" ht="24" hidden="false" customHeight="true" outlineLevel="0" collapsed="false">
      <c r="A22" s="17"/>
      <c r="B22" s="17"/>
      <c r="C22" s="18"/>
      <c r="D22" s="18"/>
      <c r="E22" s="18"/>
      <c r="F22" s="18"/>
      <c r="G22" s="18"/>
      <c r="H22" s="18"/>
    </row>
    <row r="23" customFormat="false" ht="24" hidden="false" customHeight="true" outlineLevel="0" collapsed="false">
      <c r="A23" s="17"/>
      <c r="B23" s="17"/>
      <c r="C23" s="18"/>
      <c r="D23" s="18"/>
      <c r="E23" s="18"/>
      <c r="F23" s="18"/>
      <c r="G23" s="18"/>
      <c r="H23" s="18"/>
    </row>
    <row r="24" customFormat="false" ht="24" hidden="false" customHeight="true" outlineLevel="0" collapsed="false">
      <c r="A24" s="31" t="s">
        <v>198</v>
      </c>
      <c r="B24" s="31"/>
      <c r="C24" s="32" t="str">
        <f aca="false">INDEX('Rencana 120 Hari'!$J$6:$J$125,$C$5)</f>
        <v>Lesson 1: Welcome!</v>
      </c>
      <c r="D24" s="32"/>
      <c r="E24" s="32"/>
      <c r="F24" s="32"/>
      <c r="G24" s="32"/>
      <c r="H24" s="32"/>
    </row>
    <row r="25" customFormat="false" ht="24" hidden="false" customHeight="true" outlineLevel="0" collapsed="false">
      <c r="A25" s="31"/>
      <c r="B25" s="31"/>
      <c r="C25" s="32"/>
      <c r="D25" s="32"/>
      <c r="E25" s="32"/>
      <c r="F25" s="32"/>
      <c r="G25" s="32"/>
      <c r="H25" s="32"/>
    </row>
    <row r="26" customFormat="false" ht="26" hidden="false" customHeight="true" outlineLevel="0" collapsed="false">
      <c r="A26" s="31" t="s">
        <v>199</v>
      </c>
      <c r="B26" s="31"/>
      <c r="C26" s="33" t="str">
        <f aca="false">HYPERLINK(INDEX('Rencana 120 Hari'!$K$6:$K$125,$C$5),INDEX('Rencana 120 Hari'!$K$6:$K$125,$C$5))</f>
        <v>https://learningenglish.voanews.com/a/lets-learn-english-lesson-one/3111026.html</v>
      </c>
      <c r="D26" s="33"/>
      <c r="E26" s="33"/>
      <c r="F26" s="33"/>
      <c r="G26" s="33"/>
      <c r="H26" s="33"/>
    </row>
    <row r="27" customFormat="false" ht="26" hidden="false" customHeight="true" outlineLevel="0" collapsed="false">
      <c r="A27" s="31"/>
      <c r="B27" s="31"/>
      <c r="C27" s="33"/>
      <c r="D27" s="33"/>
      <c r="E27" s="33"/>
      <c r="F27" s="33"/>
      <c r="G27" s="33"/>
      <c r="H27" s="33"/>
    </row>
    <row r="28" customFormat="false" ht="24" hidden="false" customHeight="true" outlineLevel="0" collapsed="false">
      <c r="A28" s="17" t="s">
        <v>200</v>
      </c>
      <c r="B28" s="17"/>
      <c r="C28" s="18" t="str">
        <f aca="false">INDEX('Rencana 120 Hari'!$L$6:$L$125,$C$5)</f>
        <v>Baca Conversation dan bagian alphabet; cocokkan huruf nama sendiri.</v>
      </c>
      <c r="D28" s="18"/>
      <c r="E28" s="18"/>
      <c r="F28" s="18"/>
      <c r="G28" s="18"/>
      <c r="H28" s="18"/>
    </row>
    <row r="29" customFormat="false" ht="24" hidden="false" customHeight="true" outlineLevel="0" collapsed="false">
      <c r="A29" s="17"/>
      <c r="B29" s="17"/>
      <c r="C29" s="18"/>
      <c r="D29" s="18"/>
      <c r="E29" s="18"/>
      <c r="F29" s="18"/>
      <c r="G29" s="18"/>
      <c r="H29" s="18"/>
    </row>
    <row r="30" customFormat="false" ht="24" hidden="false" customHeight="true" outlineLevel="0" collapsed="false">
      <c r="A30" s="17"/>
      <c r="B30" s="17"/>
      <c r="C30" s="18"/>
      <c r="D30" s="18"/>
      <c r="E30" s="18"/>
      <c r="F30" s="18"/>
      <c r="G30" s="18"/>
      <c r="H30" s="18"/>
    </row>
    <row r="31" customFormat="false" ht="24" hidden="false" customHeight="true" outlineLevel="0" collapsed="false">
      <c r="A31" s="31" t="s">
        <v>57</v>
      </c>
      <c r="B31" s="31"/>
      <c r="C31" s="32" t="str">
        <f aca="false">INDEX('Rencana 120 Hari'!$M$6:$M$125,$C$5)</f>
        <v>Lesson 1: Welcome!</v>
      </c>
      <c r="D31" s="32"/>
      <c r="E31" s="32"/>
      <c r="F31" s="32"/>
      <c r="G31" s="32"/>
      <c r="H31" s="32"/>
    </row>
    <row r="32" customFormat="false" ht="24" hidden="false" customHeight="true" outlineLevel="0" collapsed="false">
      <c r="A32" s="31"/>
      <c r="B32" s="31"/>
      <c r="C32" s="32"/>
      <c r="D32" s="32"/>
      <c r="E32" s="32"/>
      <c r="F32" s="32"/>
      <c r="G32" s="32"/>
      <c r="H32" s="32"/>
    </row>
    <row r="33" customFormat="false" ht="26" hidden="false" customHeight="true" outlineLevel="0" collapsed="false">
      <c r="A33" s="31" t="s">
        <v>201</v>
      </c>
      <c r="B33" s="31"/>
      <c r="C33" s="33" t="str">
        <f aca="false">HYPERLINK(INDEX('Rencana 120 Hari'!$N$6:$N$125,$C$5),INDEX('Rencana 120 Hari'!$N$6:$N$125,$C$5))</f>
        <v>https://learningenglish.voanews.com/a/lets-learn-english-lesson-one/3111026.html</v>
      </c>
      <c r="D33" s="33"/>
      <c r="E33" s="33"/>
      <c r="F33" s="33"/>
      <c r="G33" s="33"/>
      <c r="H33" s="33"/>
    </row>
    <row r="34" customFormat="false" ht="26" hidden="false" customHeight="true" outlineLevel="0" collapsed="false">
      <c r="A34" s="31"/>
      <c r="B34" s="31"/>
      <c r="C34" s="33"/>
      <c r="D34" s="33"/>
      <c r="E34" s="33"/>
      <c r="F34" s="33"/>
      <c r="G34" s="33"/>
      <c r="H34" s="33"/>
    </row>
    <row r="35" customFormat="false" ht="24" hidden="false" customHeight="true" outlineLevel="0" collapsed="false">
      <c r="A35" s="17" t="s">
        <v>202</v>
      </c>
      <c r="B35" s="17"/>
      <c r="C35" s="18" t="str">
        <f aca="false">INDEX('Rencana 120 Hari'!$O$6:$O$125,$C$5)</f>
        <v>Perhatikan cara menyebut nama dan mengeja huruf. Mulai dengan transkrip bila perlu, lalu coba tanpa teks. Ambil cuplikan bila panjang; total latihan 15 menit.</v>
      </c>
      <c r="D35" s="18"/>
      <c r="E35" s="18"/>
      <c r="F35" s="18"/>
      <c r="G35" s="18"/>
      <c r="H35" s="18"/>
    </row>
    <row r="36" customFormat="false" ht="24" hidden="false" customHeight="true" outlineLevel="0" collapsed="false">
      <c r="A36" s="17"/>
      <c r="B36" s="17"/>
      <c r="C36" s="18"/>
      <c r="D36" s="18"/>
      <c r="E36" s="18"/>
      <c r="F36" s="18"/>
      <c r="G36" s="18"/>
      <c r="H36" s="18"/>
    </row>
    <row r="37" customFormat="false" ht="24" hidden="false" customHeight="true" outlineLevel="0" collapsed="false">
      <c r="A37" s="17"/>
      <c r="B37" s="17"/>
      <c r="C37" s="18"/>
      <c r="D37" s="18"/>
      <c r="E37" s="18"/>
      <c r="F37" s="18"/>
      <c r="G37" s="18"/>
      <c r="H37" s="18"/>
    </row>
    <row r="38" customFormat="false" ht="24" hidden="false" customHeight="true" outlineLevel="0" collapsed="false">
      <c r="A38" s="17"/>
      <c r="B38" s="17"/>
      <c r="C38" s="18"/>
      <c r="D38" s="18"/>
      <c r="E38" s="18"/>
      <c r="F38" s="18"/>
      <c r="G38" s="18"/>
      <c r="H38" s="18"/>
    </row>
    <row r="39" customFormat="false" ht="24" hidden="false" customHeight="true" outlineLevel="0" collapsed="false">
      <c r="A39" s="17"/>
      <c r="B39" s="17"/>
      <c r="C39" s="18"/>
      <c r="D39" s="18"/>
      <c r="E39" s="18"/>
      <c r="F39" s="18"/>
      <c r="G39" s="18"/>
      <c r="H39" s="18"/>
    </row>
    <row r="40" customFormat="false" ht="24" hidden="false" customHeight="true" outlineLevel="0" collapsed="false">
      <c r="A40" s="19" t="s">
        <v>203</v>
      </c>
      <c r="B40" s="19"/>
      <c r="C40" s="20" t="str">
        <f aca="false">INDEX('Rencana 120 Hari'!$P$6:$P$125,$C$5)</f>
        <v>Rekam nama dan eja 3 kali, 20–30 detik.</v>
      </c>
      <c r="D40" s="20"/>
      <c r="E40" s="20"/>
      <c r="F40" s="20"/>
      <c r="G40" s="20"/>
      <c r="H40" s="20"/>
    </row>
    <row r="41" customFormat="false" ht="24" hidden="false" customHeight="true" outlineLevel="0" collapsed="false">
      <c r="A41" s="19"/>
      <c r="B41" s="19"/>
      <c r="C41" s="20"/>
      <c r="D41" s="20"/>
      <c r="E41" s="20"/>
      <c r="F41" s="20"/>
      <c r="G41" s="20"/>
      <c r="H41" s="20"/>
    </row>
    <row r="42" customFormat="false" ht="24" hidden="false" customHeight="true" outlineLevel="0" collapsed="false">
      <c r="A42" s="19"/>
      <c r="B42" s="19"/>
      <c r="C42" s="20"/>
      <c r="D42" s="20"/>
      <c r="E42" s="20"/>
      <c r="F42" s="20"/>
      <c r="G42" s="20"/>
      <c r="H42" s="20"/>
    </row>
    <row r="43" customFormat="false" ht="24" hidden="false" customHeight="true" outlineLevel="0" collapsed="false">
      <c r="A43" s="17" t="s">
        <v>204</v>
      </c>
      <c r="B43" s="17"/>
      <c r="C43" s="18" t="str">
        <f aca="false">INDEX('Rencana 120 Hari'!$Q$6:$Q$125,$C$5)</f>
        <v>Tulis 3 kalimat nama dan asal memakai contoh.</v>
      </c>
      <c r="D43" s="18"/>
      <c r="E43" s="18"/>
      <c r="F43" s="18"/>
      <c r="G43" s="18"/>
      <c r="H43" s="18"/>
    </row>
    <row r="44" customFormat="false" ht="24" hidden="false" customHeight="true" outlineLevel="0" collapsed="false">
      <c r="A44" s="17"/>
      <c r="B44" s="17"/>
      <c r="C44" s="18"/>
      <c r="D44" s="18"/>
      <c r="E44" s="18"/>
      <c r="F44" s="18"/>
      <c r="G44" s="18"/>
      <c r="H44" s="18"/>
    </row>
    <row r="45" customFormat="false" ht="24" hidden="false" customHeight="true" outlineLevel="0" collapsed="false">
      <c r="A45" s="17"/>
      <c r="B45" s="17"/>
      <c r="C45" s="18"/>
      <c r="D45" s="18"/>
      <c r="E45" s="18"/>
      <c r="F45" s="18"/>
      <c r="G45" s="18"/>
      <c r="H45" s="18"/>
    </row>
    <row r="46" customFormat="false" ht="24" hidden="false" customHeight="true" outlineLevel="0" collapsed="false">
      <c r="A46" s="19" t="s">
        <v>205</v>
      </c>
      <c r="B46" s="19"/>
      <c r="C46" s="20" t="str">
        <f aca="false">INDEX('Rencana 120 Hari'!$R$6:$R$125,$C$5)</f>
        <v>Nama dapat dieja tanpa melihat contoh.</v>
      </c>
      <c r="D46" s="20"/>
      <c r="E46" s="20"/>
      <c r="F46" s="20"/>
      <c r="G46" s="20"/>
      <c r="H46" s="20"/>
    </row>
    <row r="47" customFormat="false" ht="24" hidden="false" customHeight="true" outlineLevel="0" collapsed="false">
      <c r="A47" s="19"/>
      <c r="B47" s="19"/>
      <c r="C47" s="20"/>
      <c r="D47" s="20"/>
      <c r="E47" s="20"/>
      <c r="F47" s="20"/>
      <c r="G47" s="20"/>
      <c r="H47" s="20"/>
    </row>
    <row r="48" customFormat="false" ht="24" hidden="false" customHeight="true" outlineLevel="0" collapsed="false">
      <c r="A48" s="19"/>
      <c r="B48" s="19"/>
      <c r="C48" s="20"/>
      <c r="D48" s="20"/>
      <c r="E48" s="20"/>
      <c r="F48" s="20"/>
      <c r="G48" s="20"/>
      <c r="H48" s="20"/>
    </row>
    <row r="49" customFormat="false" ht="26" hidden="false" customHeight="tru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26" hidden="false" customHeight="true" outlineLevel="0" collapsed="false">
      <c r="A50" s="4" t="s">
        <v>61</v>
      </c>
      <c r="B50" s="4"/>
      <c r="C50" s="4" t="n">
        <f aca="false">INDEX('Rencana 120 Hari'!$S$6:$S$125,$C$5)</f>
        <v>55</v>
      </c>
      <c r="D50" s="4"/>
      <c r="E50" s="4" t="s">
        <v>206</v>
      </c>
      <c r="F50" s="4"/>
      <c r="G50" s="34" t="n">
        <f aca="false">INDEX(Tracker!$I$6:$I$125,$C$5)</f>
        <v>0</v>
      </c>
      <c r="H50" s="34"/>
    </row>
    <row r="51" customFormat="false" ht="26" hidden="false" customHeight="tru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26" hidden="false" customHeight="true" outlineLevel="0" collapsed="false">
      <c r="A52" s="21" t="s">
        <v>207</v>
      </c>
      <c r="B52" s="21"/>
      <c r="C52" s="21"/>
      <c r="D52" s="21"/>
      <c r="E52" s="21"/>
      <c r="F52" s="21"/>
      <c r="G52" s="21"/>
      <c r="H52" s="21"/>
    </row>
    <row r="53" customFormat="false" ht="26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</row>
    <row r="54" customFormat="false" ht="26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</row>
  </sheetData>
  <mergeCells count="41">
    <mergeCell ref="A1:H2"/>
    <mergeCell ref="A3:H3"/>
    <mergeCell ref="A5:B5"/>
    <mergeCell ref="C5:D5"/>
    <mergeCell ref="E5:F5"/>
    <mergeCell ref="G5:H5"/>
    <mergeCell ref="A7:B8"/>
    <mergeCell ref="C7:H8"/>
    <mergeCell ref="A9:B10"/>
    <mergeCell ref="C9:H10"/>
    <mergeCell ref="A11:B14"/>
    <mergeCell ref="C11:H14"/>
    <mergeCell ref="A15:B17"/>
    <mergeCell ref="C15:H17"/>
    <mergeCell ref="A18:B20"/>
    <mergeCell ref="C18:H20"/>
    <mergeCell ref="A21:B23"/>
    <mergeCell ref="C21:H23"/>
    <mergeCell ref="A24:B25"/>
    <mergeCell ref="C24:H25"/>
    <mergeCell ref="A26:B27"/>
    <mergeCell ref="C26:H27"/>
    <mergeCell ref="A28:B30"/>
    <mergeCell ref="C28:H30"/>
    <mergeCell ref="A31:B32"/>
    <mergeCell ref="C31:H32"/>
    <mergeCell ref="A33:B34"/>
    <mergeCell ref="C33:H34"/>
    <mergeCell ref="A35:B39"/>
    <mergeCell ref="C35:H39"/>
    <mergeCell ref="A40:B42"/>
    <mergeCell ref="C40:H42"/>
    <mergeCell ref="A43:B45"/>
    <mergeCell ref="C43:H45"/>
    <mergeCell ref="A46:B48"/>
    <mergeCell ref="C46:H48"/>
    <mergeCell ref="A50:B50"/>
    <mergeCell ref="C50:D50"/>
    <mergeCell ref="E50:F50"/>
    <mergeCell ref="G50:H50"/>
    <mergeCell ref="A52:H54"/>
  </mergeCells>
  <dataValidations count="1">
    <dataValidation allowBlank="false" errorStyle="stop" operator="between" showDropDown="false" showErrorMessage="false" showInputMessage="false" sqref="C5" type="whole">
      <formula1>1</formula1>
      <formula2>120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6" min="6" style="0" width="19"/>
    <col collapsed="false" customWidth="true" hidden="false" outlineLevel="0" max="7" min="7" style="0" width="48"/>
    <col collapsed="false" customWidth="true" hidden="false" outlineLevel="0" max="8" min="8" style="0" width="45"/>
    <col collapsed="false" customWidth="true" hidden="false" outlineLevel="0" max="9" min="9" style="0" width="46"/>
    <col collapsed="false" customWidth="true" hidden="false" outlineLevel="0" max="10" min="10" style="0" width="43"/>
    <col collapsed="false" customWidth="true" hidden="false" outlineLevel="0" max="11" min="11" style="0" width="65"/>
    <col collapsed="false" customWidth="true" hidden="false" outlineLevel="0" max="12" min="12" style="0" width="48"/>
    <col collapsed="false" customWidth="true" hidden="false" outlineLevel="0" max="13" min="13" style="0" width="43"/>
    <col collapsed="false" customWidth="true" hidden="false" outlineLevel="0" max="14" min="14" style="0" width="65"/>
    <col collapsed="false" customWidth="true" hidden="false" outlineLevel="0" max="17" min="15" style="0" width="49"/>
    <col collapsed="false" customWidth="true" hidden="false" outlineLevel="0" max="18" min="18" style="0" width="47"/>
    <col collapsed="false" customWidth="true" hidden="false" outlineLevel="0" max="19" min="19" style="0" width="12"/>
    <col collapsed="false" customWidth="true" hidden="false" outlineLevel="0" max="20" min="20" style="0" width="32"/>
  </cols>
  <sheetData>
    <row r="1" customFormat="false" ht="25" hidden="false" customHeight="true" outlineLevel="0" collapsed="false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32" hidden="false" customHeight="true" outlineLevel="0" collapsed="false">
      <c r="A3" s="2" t="s">
        <v>209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26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35" hidden="false" customHeight="true" outlineLevel="0" collapsed="false">
      <c r="A5" s="14" t="s">
        <v>52</v>
      </c>
      <c r="B5" s="14" t="s">
        <v>210</v>
      </c>
      <c r="C5" s="14" t="s">
        <v>211</v>
      </c>
      <c r="D5" s="14" t="s">
        <v>54</v>
      </c>
      <c r="E5" s="14" t="s">
        <v>193</v>
      </c>
      <c r="F5" s="14" t="s">
        <v>212</v>
      </c>
      <c r="G5" s="14" t="s">
        <v>213</v>
      </c>
      <c r="H5" s="14" t="s">
        <v>195</v>
      </c>
      <c r="I5" s="14" t="s">
        <v>214</v>
      </c>
      <c r="J5" s="14" t="s">
        <v>215</v>
      </c>
      <c r="K5" s="14" t="s">
        <v>216</v>
      </c>
      <c r="L5" s="14" t="s">
        <v>217</v>
      </c>
      <c r="M5" s="14" t="s">
        <v>218</v>
      </c>
      <c r="N5" s="14" t="s">
        <v>219</v>
      </c>
      <c r="O5" s="14" t="s">
        <v>220</v>
      </c>
      <c r="P5" s="14" t="s">
        <v>221</v>
      </c>
      <c r="Q5" s="14" t="s">
        <v>222</v>
      </c>
      <c r="R5" s="14" t="s">
        <v>205</v>
      </c>
      <c r="S5" s="14" t="s">
        <v>61</v>
      </c>
      <c r="T5" s="14" t="s">
        <v>223</v>
      </c>
    </row>
    <row r="6" customFormat="false" ht="150" hidden="false" customHeight="true" outlineLevel="0" collapsed="false">
      <c r="A6" s="26" t="n">
        <v>1</v>
      </c>
      <c r="B6" s="26" t="n">
        <v>1</v>
      </c>
      <c r="C6" s="22" t="s">
        <v>224</v>
      </c>
      <c r="D6" s="22" t="s">
        <v>68</v>
      </c>
      <c r="E6" s="22" t="s">
        <v>225</v>
      </c>
      <c r="F6" s="22" t="s">
        <v>226</v>
      </c>
      <c r="G6" s="22" t="str">
        <f aca="false">'Kamus Materi'!C6</f>
        <v>Alphabet adalah kumpulan huruf. Spelling berarti menyebut huruf penyusun kata; nama huruf tidak selalu sama dengan bunyinya di dalam kata.</v>
      </c>
      <c r="H6" s="22" t="str">
        <f aca="false">'Kamus Materi'!D6</f>
        <v>My name is Sam. S-A-M. = Nama saya Sam, dieja S-A-M.</v>
      </c>
      <c r="I6" s="22" t="s">
        <v>227</v>
      </c>
      <c r="J6" s="22" t="s">
        <v>228</v>
      </c>
      <c r="K6" s="35" t="s">
        <v>229</v>
      </c>
      <c r="L6" s="22" t="s">
        <v>230</v>
      </c>
      <c r="M6" s="22" t="s">
        <v>228</v>
      </c>
      <c r="N6" s="35" t="s">
        <v>229</v>
      </c>
      <c r="O6" s="22" t="s">
        <v>231</v>
      </c>
      <c r="P6" s="22" t="s">
        <v>232</v>
      </c>
      <c r="Q6" s="22" t="s">
        <v>233</v>
      </c>
      <c r="R6" s="22" t="s">
        <v>234</v>
      </c>
      <c r="S6" s="26" t="n">
        <f aca="false">Mulai!G6</f>
        <v>55</v>
      </c>
      <c r="T6" s="22" t="s">
        <v>235</v>
      </c>
    </row>
    <row r="7" customFormat="false" ht="150" hidden="false" customHeight="true" outlineLevel="0" collapsed="false">
      <c r="A7" s="26" t="n">
        <v>2</v>
      </c>
      <c r="B7" s="26" t="n">
        <v>1</v>
      </c>
      <c r="C7" s="22" t="s">
        <v>224</v>
      </c>
      <c r="D7" s="22" t="s">
        <v>70</v>
      </c>
      <c r="E7" s="22" t="s">
        <v>236</v>
      </c>
      <c r="F7" s="22" t="s">
        <v>237</v>
      </c>
      <c r="G7" s="22" t="str">
        <f aca="false">'Kamus Materi'!C7</f>
        <v>Greeting berarti sapaan. Introduction adalah perkenalan singkat yang menyampaikan nama dan informasi diri dengan sopan.</v>
      </c>
      <c r="H7" s="22" t="str">
        <f aca="false">'Kamus Materi'!D7</f>
        <v>Hi, I am Sam. Nice to meet you. = Hai, saya Sam. Senang bertemu kamu.</v>
      </c>
      <c r="I7" s="22" t="s">
        <v>238</v>
      </c>
      <c r="J7" s="22" t="s">
        <v>239</v>
      </c>
      <c r="K7" s="35" t="s">
        <v>240</v>
      </c>
      <c r="L7" s="22" t="s">
        <v>241</v>
      </c>
      <c r="M7" s="22" t="s">
        <v>239</v>
      </c>
      <c r="N7" s="35" t="s">
        <v>240</v>
      </c>
      <c r="O7" s="22" t="s">
        <v>242</v>
      </c>
      <c r="P7" s="22" t="s">
        <v>243</v>
      </c>
      <c r="Q7" s="22" t="s">
        <v>244</v>
      </c>
      <c r="R7" s="22" t="s">
        <v>245</v>
      </c>
      <c r="S7" s="26" t="n">
        <f aca="false">Mulai!G6</f>
        <v>55</v>
      </c>
      <c r="T7" s="22" t="s">
        <v>246</v>
      </c>
    </row>
    <row r="8" customFormat="false" ht="150" hidden="false" customHeight="true" outlineLevel="0" collapsed="false">
      <c r="A8" s="26" t="n">
        <v>3</v>
      </c>
      <c r="B8" s="26" t="n">
        <v>1</v>
      </c>
      <c r="C8" s="22" t="s">
        <v>224</v>
      </c>
      <c r="D8" s="22" t="s">
        <v>71</v>
      </c>
      <c r="E8" s="22" t="s">
        <v>247</v>
      </c>
      <c r="F8" s="22" t="s">
        <v>248</v>
      </c>
      <c r="G8" s="22" t="str">
        <f aca="false">'Kamus Materi'!C8</f>
        <v>Kata ganti subjek menggantikan orang atau benda yang menjadi pokok kalimat: I, you, we, they, he, she, it.</v>
      </c>
      <c r="H8" s="22" t="str">
        <f aca="false">'Kamus Materi'!D8</f>
        <v>She is a student. = Dia seorang mahasiswa. She menggantikan nama perempuan.</v>
      </c>
      <c r="I8" s="22" t="s">
        <v>249</v>
      </c>
      <c r="J8" s="22" t="s">
        <v>250</v>
      </c>
      <c r="K8" s="35" t="s">
        <v>251</v>
      </c>
      <c r="L8" s="22" t="s">
        <v>252</v>
      </c>
      <c r="M8" s="22" t="s">
        <v>239</v>
      </c>
      <c r="N8" s="35" t="s">
        <v>240</v>
      </c>
      <c r="O8" s="22" t="s">
        <v>253</v>
      </c>
      <c r="P8" s="22" t="s">
        <v>254</v>
      </c>
      <c r="Q8" s="22" t="s">
        <v>255</v>
      </c>
      <c r="R8" s="22" t="s">
        <v>256</v>
      </c>
      <c r="S8" s="26" t="n">
        <f aca="false">Mulai!G6</f>
        <v>55</v>
      </c>
      <c r="T8" s="22" t="s">
        <v>257</v>
      </c>
    </row>
    <row r="9" customFormat="false" ht="150" hidden="false" customHeight="true" outlineLevel="0" collapsed="false">
      <c r="A9" s="26" t="n">
        <v>4</v>
      </c>
      <c r="B9" s="26" t="n">
        <v>1</v>
      </c>
      <c r="C9" s="22" t="s">
        <v>224</v>
      </c>
      <c r="D9" s="22" t="s">
        <v>72</v>
      </c>
      <c r="E9" s="22" t="s">
        <v>258</v>
      </c>
      <c r="F9" s="22" t="s">
        <v>259</v>
      </c>
      <c r="G9" s="22" t="str">
        <f aca="false">'Kamus Materi'!C9</f>
        <v>Am, is, dan are menghubungkan subjek dengan identitas, sifat, atau lokasi. Gunakan I am; he/she/it is; you/we/they are.</v>
      </c>
      <c r="H9" s="22" t="str">
        <f aca="false">'Kamus Materi'!D9</f>
        <v>I am ready. She is at home. = Saya siap. Dia di rumah.</v>
      </c>
      <c r="I9" s="22" t="s">
        <v>260</v>
      </c>
      <c r="J9" s="22" t="s">
        <v>261</v>
      </c>
      <c r="K9" s="35" t="s">
        <v>262</v>
      </c>
      <c r="L9" s="22" t="s">
        <v>263</v>
      </c>
      <c r="M9" s="22" t="s">
        <v>264</v>
      </c>
      <c r="N9" s="35" t="s">
        <v>265</v>
      </c>
      <c r="O9" s="22" t="s">
        <v>266</v>
      </c>
      <c r="P9" s="22" t="s">
        <v>267</v>
      </c>
      <c r="Q9" s="22" t="s">
        <v>268</v>
      </c>
      <c r="R9" s="22" t="s">
        <v>269</v>
      </c>
      <c r="S9" s="26" t="n">
        <f aca="false">Mulai!G6</f>
        <v>55</v>
      </c>
      <c r="T9" s="22" t="s">
        <v>270</v>
      </c>
    </row>
    <row r="10" customFormat="false" ht="150" hidden="false" customHeight="true" outlineLevel="0" collapsed="false">
      <c r="A10" s="26" t="n">
        <v>5</v>
      </c>
      <c r="B10" s="26" t="n">
        <v>1</v>
      </c>
      <c r="C10" s="22" t="s">
        <v>224</v>
      </c>
      <c r="D10" s="22" t="s">
        <v>73</v>
      </c>
      <c r="E10" s="22" t="s">
        <v>271</v>
      </c>
      <c r="F10" s="22" t="s">
        <v>272</v>
      </c>
      <c r="G10" s="22" t="str">
        <f aca="false">'Kamus Materi'!C10</f>
        <v>Untuk menyangkal kalimat yang memakai be, letakkan not setelah am/is/are. Bentuk singkat: is not → isn't; are not → aren't.</v>
      </c>
      <c r="H10" s="22" t="str">
        <f aca="false">'Kamus Materi'!D10</f>
        <v>I am not tired. = Saya tidak lelah. Bukan I not tired.</v>
      </c>
      <c r="I10" s="22" t="s">
        <v>273</v>
      </c>
      <c r="J10" s="22" t="s">
        <v>261</v>
      </c>
      <c r="K10" s="35" t="s">
        <v>262</v>
      </c>
      <c r="L10" s="22" t="s">
        <v>274</v>
      </c>
      <c r="M10" s="22" t="s">
        <v>264</v>
      </c>
      <c r="N10" s="35" t="s">
        <v>265</v>
      </c>
      <c r="O10" s="22" t="s">
        <v>275</v>
      </c>
      <c r="P10" s="22" t="s">
        <v>276</v>
      </c>
      <c r="Q10" s="22" t="s">
        <v>277</v>
      </c>
      <c r="R10" s="22" t="s">
        <v>278</v>
      </c>
      <c r="S10" s="26" t="n">
        <f aca="false">Mulai!G6</f>
        <v>55</v>
      </c>
      <c r="T10" s="22" t="s">
        <v>279</v>
      </c>
    </row>
    <row r="11" customFormat="false" ht="150" hidden="false" customHeight="true" outlineLevel="0" collapsed="false">
      <c r="A11" s="26" t="n">
        <v>6</v>
      </c>
      <c r="B11" s="26" t="n">
        <v>1</v>
      </c>
      <c r="C11" s="22" t="s">
        <v>224</v>
      </c>
      <c r="D11" s="22" t="s">
        <v>74</v>
      </c>
      <c r="E11" s="22" t="s">
        <v>280</v>
      </c>
      <c r="F11" s="22" t="s">
        <v>281</v>
      </c>
      <c r="G11" s="22" t="str">
        <f aca="false">'Kamus Materi'!C11</f>
        <v>Pertanyaan ya/tidak dengan be menempatkan am/is/are sebelum subjek. Jawaban singkat mengulang be yang sesuai.</v>
      </c>
      <c r="H11" s="22" t="str">
        <f aca="false">'Kamus Materi'!D11</f>
        <v>Are you busy? Yes, I am. = Apakah kamu sibuk? Ya.</v>
      </c>
      <c r="I11" s="22" t="s">
        <v>282</v>
      </c>
      <c r="J11" s="22" t="s">
        <v>261</v>
      </c>
      <c r="K11" s="35" t="s">
        <v>262</v>
      </c>
      <c r="L11" s="22" t="s">
        <v>283</v>
      </c>
      <c r="M11" s="22" t="s">
        <v>239</v>
      </c>
      <c r="N11" s="35" t="s">
        <v>240</v>
      </c>
      <c r="O11" s="22" t="s">
        <v>284</v>
      </c>
      <c r="P11" s="22" t="s">
        <v>285</v>
      </c>
      <c r="Q11" s="22" t="s">
        <v>286</v>
      </c>
      <c r="R11" s="22" t="s">
        <v>287</v>
      </c>
      <c r="S11" s="26" t="n">
        <f aca="false">Mulai!G6</f>
        <v>55</v>
      </c>
      <c r="T11" s="22" t="s">
        <v>288</v>
      </c>
    </row>
    <row r="12" customFormat="false" ht="150" hidden="false" customHeight="true" outlineLevel="0" collapsed="false">
      <c r="A12" s="26" t="n">
        <v>7</v>
      </c>
      <c r="B12" s="26" t="n">
        <v>1</v>
      </c>
      <c r="C12" s="22" t="s">
        <v>289</v>
      </c>
      <c r="D12" s="22" t="s">
        <v>75</v>
      </c>
      <c r="E12" s="22" t="s">
        <v>290</v>
      </c>
      <c r="F12" s="22" t="s">
        <v>291</v>
      </c>
      <c r="G12" s="22" t="str">
        <f aca="false">'Kamus Materi'!C59</f>
        <v>Active recall berarti mencoba mengingat tanpa melihat catatan. Spaced review adalah mengulang materi pada jeda berbeda; ulangi kesalahan lebih sering.</v>
      </c>
      <c r="H12" s="22" t="str">
        <f aca="false">'Kamus Materi'!D59</f>
        <v>Tutup catatan, sebutkan lima kata kemarin, kemudian periksa jawabannya.</v>
      </c>
      <c r="I12" s="22" t="s">
        <v>292</v>
      </c>
      <c r="J12" s="22" t="s">
        <v>228</v>
      </c>
      <c r="K12" s="35" t="s">
        <v>229</v>
      </c>
      <c r="L12" s="22" t="s">
        <v>293</v>
      </c>
      <c r="M12" s="22" t="s">
        <v>228</v>
      </c>
      <c r="N12" s="35" t="s">
        <v>229</v>
      </c>
      <c r="O12" s="22" t="s">
        <v>294</v>
      </c>
      <c r="P12" s="22" t="s">
        <v>295</v>
      </c>
      <c r="Q12" s="22" t="s">
        <v>296</v>
      </c>
      <c r="R12" s="22" t="s">
        <v>297</v>
      </c>
      <c r="S12" s="26" t="n">
        <f aca="false">Mulai!G6</f>
        <v>55</v>
      </c>
      <c r="T12" s="22" t="s">
        <v>298</v>
      </c>
    </row>
    <row r="13" customFormat="false" ht="150" hidden="false" customHeight="true" outlineLevel="0" collapsed="false">
      <c r="A13" s="26" t="n">
        <v>8</v>
      </c>
      <c r="B13" s="26" t="n">
        <v>1</v>
      </c>
      <c r="C13" s="22" t="s">
        <v>224</v>
      </c>
      <c r="D13" s="22" t="s">
        <v>76</v>
      </c>
      <c r="E13" s="22" t="s">
        <v>299</v>
      </c>
      <c r="F13" s="22" t="s">
        <v>300</v>
      </c>
      <c r="G13" s="22" t="str">
        <f aca="false">'Kamus Materi'!C12</f>
        <v>What menanyakan apa; who siapa; where di mana; when kapan; why mengapa; how bagaimana. Susunan setelahnya bergantung pada kata kerja.</v>
      </c>
      <c r="H13" s="22" t="str">
        <f aca="false">'Kamus Materi'!D12</f>
        <v>Where do you work? = Kamu bekerja di mana?</v>
      </c>
      <c r="I13" s="22" t="s">
        <v>301</v>
      </c>
      <c r="J13" s="22" t="s">
        <v>302</v>
      </c>
      <c r="K13" s="35" t="s">
        <v>303</v>
      </c>
      <c r="L13" s="22" t="s">
        <v>304</v>
      </c>
      <c r="M13" s="22" t="s">
        <v>305</v>
      </c>
      <c r="N13" s="35" t="s">
        <v>306</v>
      </c>
      <c r="O13" s="22" t="s">
        <v>307</v>
      </c>
      <c r="P13" s="22" t="s">
        <v>308</v>
      </c>
      <c r="Q13" s="22" t="s">
        <v>309</v>
      </c>
      <c r="R13" s="22" t="s">
        <v>310</v>
      </c>
      <c r="S13" s="26" t="n">
        <f aca="false">Mulai!G6</f>
        <v>55</v>
      </c>
      <c r="T13" s="22" t="s">
        <v>311</v>
      </c>
    </row>
    <row r="14" customFormat="false" ht="150" hidden="false" customHeight="true" outlineLevel="0" collapsed="false">
      <c r="A14" s="26" t="n">
        <v>9</v>
      </c>
      <c r="B14" s="26" t="n">
        <v>1</v>
      </c>
      <c r="C14" s="22" t="s">
        <v>224</v>
      </c>
      <c r="D14" s="22" t="s">
        <v>77</v>
      </c>
      <c r="E14" s="22" t="s">
        <v>312</v>
      </c>
      <c r="F14" s="22" t="s">
        <v>313</v>
      </c>
      <c r="G14" s="22" t="str">
        <f aca="false">'Kamus Materi'!C13</f>
        <v>My, your, his, her, its, our, their menandai pemilik dan diikuti kata benda. Bedakan your (milikmu) dari you're (you are).</v>
      </c>
      <c r="H14" s="22" t="str">
        <f aca="false">'Kamus Materi'!D13</f>
        <v>This is my notebook. = Ini buku catatan saya.</v>
      </c>
      <c r="I14" s="22" t="s">
        <v>314</v>
      </c>
      <c r="J14" s="22" t="s">
        <v>250</v>
      </c>
      <c r="K14" s="35" t="s">
        <v>251</v>
      </c>
      <c r="L14" s="22" t="s">
        <v>315</v>
      </c>
      <c r="M14" s="22" t="s">
        <v>316</v>
      </c>
      <c r="N14" s="35" t="s">
        <v>317</v>
      </c>
      <c r="O14" s="22" t="s">
        <v>318</v>
      </c>
      <c r="P14" s="22" t="s">
        <v>319</v>
      </c>
      <c r="Q14" s="22" t="s">
        <v>320</v>
      </c>
      <c r="R14" s="22" t="s">
        <v>321</v>
      </c>
      <c r="S14" s="26" t="n">
        <f aca="false">Mulai!G6</f>
        <v>55</v>
      </c>
      <c r="T14" s="22" t="s">
        <v>322</v>
      </c>
    </row>
    <row r="15" customFormat="false" ht="150" hidden="false" customHeight="true" outlineLevel="0" collapsed="false">
      <c r="A15" s="26" t="n">
        <v>10</v>
      </c>
      <c r="B15" s="26" t="n">
        <v>1</v>
      </c>
      <c r="C15" s="22" t="s">
        <v>224</v>
      </c>
      <c r="D15" s="22" t="s">
        <v>78</v>
      </c>
      <c r="E15" s="22" t="s">
        <v>323</v>
      </c>
      <c r="F15" s="22" t="s">
        <v>324</v>
      </c>
      <c r="G15" s="22" t="str">
        <f aca="false">'Kamus Materi'!C14</f>
        <v>Noun adalah kata benda, orang, tempat, atau gagasan. Plural berarti lebih dari satu; banyak kata menambah -s, tetapi ada bentuk tidak beraturan.</v>
      </c>
      <c r="H15" s="22" t="str">
        <f aca="false">'Kamus Materi'!D14</f>
        <v>one book → two books; one child → two children.</v>
      </c>
      <c r="I15" s="22" t="s">
        <v>325</v>
      </c>
      <c r="J15" s="22" t="s">
        <v>326</v>
      </c>
      <c r="K15" s="35" t="s">
        <v>327</v>
      </c>
      <c r="L15" s="22" t="s">
        <v>328</v>
      </c>
      <c r="M15" s="22" t="s">
        <v>305</v>
      </c>
      <c r="N15" s="35" t="s">
        <v>306</v>
      </c>
      <c r="O15" s="22" t="s">
        <v>329</v>
      </c>
      <c r="P15" s="22" t="s">
        <v>330</v>
      </c>
      <c r="Q15" s="22" t="s">
        <v>331</v>
      </c>
      <c r="R15" s="22" t="s">
        <v>332</v>
      </c>
      <c r="S15" s="26" t="n">
        <f aca="false">Mulai!G6</f>
        <v>55</v>
      </c>
      <c r="T15" s="22" t="s">
        <v>333</v>
      </c>
    </row>
    <row r="16" customFormat="false" ht="150" hidden="false" customHeight="true" outlineLevel="0" collapsed="false">
      <c r="A16" s="26" t="n">
        <v>11</v>
      </c>
      <c r="B16" s="26" t="n">
        <v>1</v>
      </c>
      <c r="C16" s="22" t="s">
        <v>224</v>
      </c>
      <c r="D16" s="22" t="s">
        <v>79</v>
      </c>
      <c r="E16" s="22" t="s">
        <v>334</v>
      </c>
      <c r="F16" s="22" t="s">
        <v>335</v>
      </c>
      <c r="G16" s="22" t="str">
        <f aca="false">'Kamus Materi'!C15</f>
        <v>A/an dipakai sebelum kata benda tunggal yang dapat dihitung dan belum spesifik. Pilih berdasarkan bunyi awal: a university, an hour. The menunjuk yang sudah tertentu.</v>
      </c>
      <c r="H16" s="22" t="str">
        <f aca="false">'Kamus Materi'!D15</f>
        <v>I have a pen. The pen is blue. = Saya punya pena. Pena itu biru.</v>
      </c>
      <c r="I16" s="22" t="s">
        <v>336</v>
      </c>
      <c r="J16" s="22" t="s">
        <v>337</v>
      </c>
      <c r="K16" s="35" t="s">
        <v>338</v>
      </c>
      <c r="L16" s="22" t="s">
        <v>339</v>
      </c>
      <c r="M16" s="22" t="s">
        <v>305</v>
      </c>
      <c r="N16" s="35" t="s">
        <v>306</v>
      </c>
      <c r="O16" s="22" t="s">
        <v>340</v>
      </c>
      <c r="P16" s="22" t="s">
        <v>341</v>
      </c>
      <c r="Q16" s="22" t="s">
        <v>342</v>
      </c>
      <c r="R16" s="22" t="s">
        <v>343</v>
      </c>
      <c r="S16" s="26" t="n">
        <f aca="false">Mulai!G6</f>
        <v>55</v>
      </c>
      <c r="T16" s="22" t="s">
        <v>344</v>
      </c>
    </row>
    <row r="17" customFormat="false" ht="150" hidden="false" customHeight="true" outlineLevel="0" collapsed="false">
      <c r="A17" s="26" t="n">
        <v>12</v>
      </c>
      <c r="B17" s="26" t="n">
        <v>1</v>
      </c>
      <c r="C17" s="22" t="s">
        <v>224</v>
      </c>
      <c r="D17" s="22" t="s">
        <v>80</v>
      </c>
      <c r="E17" s="22" t="s">
        <v>345</v>
      </c>
      <c r="F17" s="22" t="s">
        <v>346</v>
      </c>
      <c r="G17" s="22" t="str">
        <f aca="false">'Kamus Materi'!C16</f>
        <v>This/these menunjuk yang dekat; that/those yang jauh. This/that untuk tunggal, these/those untuk jamak.</v>
      </c>
      <c r="H17" s="22" t="str">
        <f aca="false">'Kamus Materi'!D16</f>
        <v>This is a cup. Those are books. = Ini cangkir. Itu buku-buku.</v>
      </c>
      <c r="I17" s="22" t="s">
        <v>347</v>
      </c>
      <c r="J17" s="22" t="s">
        <v>305</v>
      </c>
      <c r="K17" s="35" t="s">
        <v>306</v>
      </c>
      <c r="L17" s="22" t="s">
        <v>348</v>
      </c>
      <c r="M17" s="22" t="s">
        <v>305</v>
      </c>
      <c r="N17" s="35" t="s">
        <v>306</v>
      </c>
      <c r="O17" s="22" t="s">
        <v>349</v>
      </c>
      <c r="P17" s="22" t="s">
        <v>350</v>
      </c>
      <c r="Q17" s="22" t="s">
        <v>351</v>
      </c>
      <c r="R17" s="22" t="s">
        <v>352</v>
      </c>
      <c r="S17" s="26" t="n">
        <f aca="false">Mulai!G6</f>
        <v>55</v>
      </c>
      <c r="T17" s="22" t="s">
        <v>353</v>
      </c>
    </row>
    <row r="18" customFormat="false" ht="150" hidden="false" customHeight="true" outlineLevel="0" collapsed="false">
      <c r="A18" s="26" t="n">
        <v>13</v>
      </c>
      <c r="B18" s="26" t="n">
        <v>1</v>
      </c>
      <c r="C18" s="22" t="s">
        <v>224</v>
      </c>
      <c r="D18" s="22" t="s">
        <v>81</v>
      </c>
      <c r="E18" s="22" t="s">
        <v>354</v>
      </c>
      <c r="F18" s="22" t="s">
        <v>355</v>
      </c>
      <c r="G18" s="22" t="str">
        <f aca="false">'Kamus Materi'!C17</f>
        <v>Adjective adalah kata sifat yang menjelaskan orang atau benda. Biasanya berada sebelum noun atau setelah be; tidak berubah menjadi jamak.</v>
      </c>
      <c r="H18" s="22" t="str">
        <f aca="false">'Kamus Materi'!D17</f>
        <v>a small room; The room is small. = kamar kecil; Kamar itu kecil.</v>
      </c>
      <c r="I18" s="22" t="s">
        <v>356</v>
      </c>
      <c r="J18" s="22" t="s">
        <v>357</v>
      </c>
      <c r="K18" s="35" t="s">
        <v>358</v>
      </c>
      <c r="L18" s="22" t="s">
        <v>359</v>
      </c>
      <c r="M18" s="22" t="s">
        <v>360</v>
      </c>
      <c r="N18" s="35" t="s">
        <v>361</v>
      </c>
      <c r="O18" s="22" t="s">
        <v>362</v>
      </c>
      <c r="P18" s="22" t="s">
        <v>363</v>
      </c>
      <c r="Q18" s="22" t="s">
        <v>364</v>
      </c>
      <c r="R18" s="22" t="s">
        <v>365</v>
      </c>
      <c r="S18" s="26" t="n">
        <f aca="false">Mulai!G6</f>
        <v>55</v>
      </c>
      <c r="T18" s="22" t="s">
        <v>366</v>
      </c>
    </row>
    <row r="19" customFormat="false" ht="150" hidden="false" customHeight="true" outlineLevel="0" collapsed="false">
      <c r="A19" s="26" t="n">
        <v>14</v>
      </c>
      <c r="B19" s="26" t="n">
        <v>1</v>
      </c>
      <c r="C19" s="22" t="s">
        <v>289</v>
      </c>
      <c r="D19" s="22" t="s">
        <v>82</v>
      </c>
      <c r="E19" s="22" t="s">
        <v>367</v>
      </c>
      <c r="F19" s="22" t="s">
        <v>291</v>
      </c>
      <c r="G19" s="22" t="str">
        <f aca="false">'Kamus Materi'!C59</f>
        <v>Active recall berarti mencoba mengingat tanpa melihat catatan. Spaced review adalah mengulang materi pada jeda berbeda; ulangi kesalahan lebih sering.</v>
      </c>
      <c r="H19" s="22" t="str">
        <f aca="false">'Kamus Materi'!D59</f>
        <v>Tutup catatan, sebutkan lima kata kemarin, kemudian periksa jawabannya.</v>
      </c>
      <c r="I19" s="22" t="s">
        <v>368</v>
      </c>
      <c r="J19" s="22" t="s">
        <v>337</v>
      </c>
      <c r="K19" s="35" t="s">
        <v>338</v>
      </c>
      <c r="L19" s="22" t="s">
        <v>369</v>
      </c>
      <c r="M19" s="22" t="s">
        <v>305</v>
      </c>
      <c r="N19" s="35" t="s">
        <v>306</v>
      </c>
      <c r="O19" s="22" t="s">
        <v>370</v>
      </c>
      <c r="P19" s="22" t="s">
        <v>371</v>
      </c>
      <c r="Q19" s="22" t="s">
        <v>372</v>
      </c>
      <c r="R19" s="22" t="s">
        <v>373</v>
      </c>
      <c r="S19" s="26" t="n">
        <f aca="false">Mulai!G6</f>
        <v>55</v>
      </c>
      <c r="T19" s="22" t="s">
        <v>374</v>
      </c>
    </row>
    <row r="20" customFormat="false" ht="150" hidden="false" customHeight="true" outlineLevel="0" collapsed="false">
      <c r="A20" s="26" t="n">
        <v>15</v>
      </c>
      <c r="B20" s="26" t="n">
        <v>1</v>
      </c>
      <c r="C20" s="22" t="s">
        <v>224</v>
      </c>
      <c r="D20" s="22" t="s">
        <v>83</v>
      </c>
      <c r="E20" s="22" t="s">
        <v>375</v>
      </c>
      <c r="F20" s="22" t="s">
        <v>376</v>
      </c>
      <c r="G20" s="22" t="str">
        <f aca="false">'Kamus Materi'!C18</f>
        <v>Cardinal numbers menyatakan jumlah (one, two). Ordinal numbers menyatakan urutan (first, second). Latih angka, jam, dan tanggal dalam konteks.</v>
      </c>
      <c r="H20" s="22" t="str">
        <f aca="false">'Kamus Materi'!D18</f>
        <v>The lesson starts at seven. = Pelajaran mulai pukul tujuh.</v>
      </c>
      <c r="I20" s="22" t="s">
        <v>377</v>
      </c>
      <c r="J20" s="22" t="s">
        <v>378</v>
      </c>
      <c r="K20" s="35" t="s">
        <v>379</v>
      </c>
      <c r="L20" s="22" t="s">
        <v>380</v>
      </c>
      <c r="M20" s="22" t="s">
        <v>381</v>
      </c>
      <c r="N20" s="35" t="s">
        <v>382</v>
      </c>
      <c r="O20" s="22" t="s">
        <v>383</v>
      </c>
      <c r="P20" s="22" t="s">
        <v>384</v>
      </c>
      <c r="Q20" s="22" t="s">
        <v>385</v>
      </c>
      <c r="R20" s="22" t="s">
        <v>386</v>
      </c>
      <c r="S20" s="26" t="n">
        <f aca="false">Mulai!G6</f>
        <v>55</v>
      </c>
      <c r="T20" s="22" t="s">
        <v>387</v>
      </c>
    </row>
    <row r="21" customFormat="false" ht="150" hidden="false" customHeight="true" outlineLevel="0" collapsed="false">
      <c r="A21" s="26" t="n">
        <v>16</v>
      </c>
      <c r="B21" s="26" t="n">
        <v>1</v>
      </c>
      <c r="C21" s="22" t="s">
        <v>224</v>
      </c>
      <c r="D21" s="22" t="s">
        <v>84</v>
      </c>
      <c r="E21" s="22" t="s">
        <v>388</v>
      </c>
      <c r="F21" s="22" t="s">
        <v>376</v>
      </c>
      <c r="G21" s="22" t="str">
        <f aca="false">'Kamus Materi'!C18</f>
        <v>Cardinal numbers menyatakan jumlah (one, two). Ordinal numbers menyatakan urutan (first, second). Latih angka, jam, dan tanggal dalam konteks.</v>
      </c>
      <c r="H21" s="22" t="str">
        <f aca="false">'Kamus Materi'!D18</f>
        <v>The lesson starts at seven. = Pelajaran mulai pukul tujuh.</v>
      </c>
      <c r="I21" s="22" t="s">
        <v>389</v>
      </c>
      <c r="J21" s="22" t="s">
        <v>390</v>
      </c>
      <c r="K21" s="35" t="s">
        <v>391</v>
      </c>
      <c r="L21" s="22" t="s">
        <v>392</v>
      </c>
      <c r="M21" s="22" t="s">
        <v>393</v>
      </c>
      <c r="N21" s="35" t="s">
        <v>394</v>
      </c>
      <c r="O21" s="22" t="s">
        <v>395</v>
      </c>
      <c r="P21" s="22" t="s">
        <v>396</v>
      </c>
      <c r="Q21" s="22" t="s">
        <v>397</v>
      </c>
      <c r="R21" s="22" t="s">
        <v>398</v>
      </c>
      <c r="S21" s="26" t="n">
        <f aca="false">Mulai!G6</f>
        <v>55</v>
      </c>
      <c r="T21" s="22" t="s">
        <v>399</v>
      </c>
    </row>
    <row r="22" customFormat="false" ht="150" hidden="false" customHeight="true" outlineLevel="0" collapsed="false">
      <c r="A22" s="26" t="n">
        <v>17</v>
      </c>
      <c r="B22" s="26" t="n">
        <v>1</v>
      </c>
      <c r="C22" s="22" t="s">
        <v>224</v>
      </c>
      <c r="D22" s="22" t="s">
        <v>85</v>
      </c>
      <c r="E22" s="22" t="s">
        <v>400</v>
      </c>
      <c r="F22" s="22" t="s">
        <v>401</v>
      </c>
      <c r="G22" s="22" t="str">
        <f aca="false">'Kamus Materi'!C19</f>
        <v>There is menyatakan keberadaan satu benda atau uncountable noun; there are untuk jamak. Maknanya ada, bukan terjemahan harfiah di sana.</v>
      </c>
      <c r="H22" s="22" t="str">
        <f aca="false">'Kamus Materi'!D19</f>
        <v>There is a desk. There are two chairs. = Ada meja dan dua kursi.</v>
      </c>
      <c r="I22" s="22" t="s">
        <v>402</v>
      </c>
      <c r="J22" s="22" t="s">
        <v>403</v>
      </c>
      <c r="K22" s="35" t="s">
        <v>404</v>
      </c>
      <c r="L22" s="22" t="s">
        <v>405</v>
      </c>
      <c r="M22" s="22" t="s">
        <v>406</v>
      </c>
      <c r="N22" s="35" t="s">
        <v>407</v>
      </c>
      <c r="O22" s="22" t="s">
        <v>408</v>
      </c>
      <c r="P22" s="22" t="s">
        <v>409</v>
      </c>
      <c r="Q22" s="22" t="s">
        <v>410</v>
      </c>
      <c r="R22" s="22" t="s">
        <v>411</v>
      </c>
      <c r="S22" s="26" t="n">
        <f aca="false">Mulai!G6</f>
        <v>55</v>
      </c>
      <c r="T22" s="22" t="s">
        <v>412</v>
      </c>
    </row>
    <row r="23" customFormat="false" ht="150" hidden="false" customHeight="true" outlineLevel="0" collapsed="false">
      <c r="A23" s="26" t="n">
        <v>18</v>
      </c>
      <c r="B23" s="26" t="n">
        <v>1</v>
      </c>
      <c r="C23" s="22" t="s">
        <v>224</v>
      </c>
      <c r="D23" s="22" t="s">
        <v>86</v>
      </c>
      <c r="E23" s="22" t="s">
        <v>413</v>
      </c>
      <c r="F23" s="22" t="s">
        <v>414</v>
      </c>
      <c r="G23" s="22" t="str">
        <f aca="false">'Kamus Materi'!C20</f>
        <v>Preposition of place menunjukkan lokasi. In umumnya di dalam/area; on di atas permukaan; at pada suatu titik atau tempat kegiatan.</v>
      </c>
      <c r="H23" s="22" t="str">
        <f aca="false">'Kamus Materi'!D20</f>
        <v>The mouse is on the desk. = Mouse ada di atas meja.</v>
      </c>
      <c r="I23" s="22" t="s">
        <v>415</v>
      </c>
      <c r="J23" s="22" t="s">
        <v>416</v>
      </c>
      <c r="K23" s="35" t="s">
        <v>417</v>
      </c>
      <c r="L23" s="22" t="s">
        <v>418</v>
      </c>
      <c r="M23" s="22" t="s">
        <v>419</v>
      </c>
      <c r="N23" s="35" t="s">
        <v>420</v>
      </c>
      <c r="O23" s="22" t="s">
        <v>421</v>
      </c>
      <c r="P23" s="22" t="s">
        <v>422</v>
      </c>
      <c r="Q23" s="22" t="s">
        <v>423</v>
      </c>
      <c r="R23" s="22" t="s">
        <v>424</v>
      </c>
      <c r="S23" s="26" t="n">
        <f aca="false">Mulai!G6</f>
        <v>55</v>
      </c>
      <c r="T23" s="22" t="s">
        <v>425</v>
      </c>
    </row>
    <row r="24" customFormat="false" ht="150" hidden="false" customHeight="true" outlineLevel="0" collapsed="false">
      <c r="A24" s="26" t="n">
        <v>19</v>
      </c>
      <c r="B24" s="26" t="n">
        <v>1</v>
      </c>
      <c r="C24" s="22" t="s">
        <v>224</v>
      </c>
      <c r="D24" s="22" t="s">
        <v>87</v>
      </c>
      <c r="E24" s="22" t="s">
        <v>426</v>
      </c>
      <c r="F24" s="22" t="s">
        <v>427</v>
      </c>
      <c r="G24" s="22" t="str">
        <f aca="false">'Kamus Materi'!C21</f>
        <v>Have/has menyatakan kepemilikan atau hubungan. I/you/we/they memakai have; he/she/it memakai has. Untuk pertanyaan biasa gunakan do/does + have.</v>
      </c>
      <c r="H24" s="22" t="str">
        <f aca="false">'Kamus Materi'!D21</f>
        <v>She has a laptop. Does she have a mouse? = Dia punya laptop. Apakah dia punya mouse?</v>
      </c>
      <c r="I24" s="22" t="s">
        <v>428</v>
      </c>
      <c r="J24" s="22" t="s">
        <v>429</v>
      </c>
      <c r="K24" s="35" t="s">
        <v>430</v>
      </c>
      <c r="L24" s="22" t="s">
        <v>431</v>
      </c>
      <c r="M24" s="22" t="s">
        <v>432</v>
      </c>
      <c r="N24" s="35" t="s">
        <v>433</v>
      </c>
      <c r="O24" s="22" t="s">
        <v>434</v>
      </c>
      <c r="P24" s="22" t="s">
        <v>435</v>
      </c>
      <c r="Q24" s="22" t="s">
        <v>436</v>
      </c>
      <c r="R24" s="22" t="s">
        <v>437</v>
      </c>
      <c r="S24" s="26" t="n">
        <f aca="false">Mulai!G6</f>
        <v>55</v>
      </c>
      <c r="T24" s="22" t="s">
        <v>438</v>
      </c>
    </row>
    <row r="25" customFormat="false" ht="150" hidden="false" customHeight="true" outlineLevel="0" collapsed="false">
      <c r="A25" s="26" t="n">
        <v>20</v>
      </c>
      <c r="B25" s="26" t="n">
        <v>1</v>
      </c>
      <c r="C25" s="22" t="s">
        <v>224</v>
      </c>
      <c r="D25" s="22" t="s">
        <v>88</v>
      </c>
      <c r="E25" s="22" t="s">
        <v>439</v>
      </c>
      <c r="F25" s="22" t="s">
        <v>440</v>
      </c>
      <c r="G25" s="22" t="str">
        <f aca="false">'Kamus Materi'!C22</f>
        <v>Apostrophe + s menunjukkan pemilik: Sam's bag. Untuk jamak berakhiran s, apostrophe diletakkan setelah s. Bedakan 's pemilik dari is.</v>
      </c>
      <c r="H25" s="22" t="str">
        <f aca="false">'Kamus Materi'!D22</f>
        <v>This is my sister's phone. = Ini telepon saudara perempuan saya.</v>
      </c>
      <c r="I25" s="22" t="s">
        <v>441</v>
      </c>
      <c r="J25" s="22" t="s">
        <v>442</v>
      </c>
      <c r="K25" s="35" t="s">
        <v>443</v>
      </c>
      <c r="L25" s="22" t="s">
        <v>444</v>
      </c>
      <c r="M25" s="22" t="s">
        <v>316</v>
      </c>
      <c r="N25" s="35" t="s">
        <v>317</v>
      </c>
      <c r="O25" s="22" t="s">
        <v>445</v>
      </c>
      <c r="P25" s="22" t="s">
        <v>446</v>
      </c>
      <c r="Q25" s="22" t="s">
        <v>447</v>
      </c>
      <c r="R25" s="22" t="s">
        <v>448</v>
      </c>
      <c r="S25" s="26" t="n">
        <f aca="false">Mulai!G6</f>
        <v>55</v>
      </c>
      <c r="T25" s="22" t="s">
        <v>449</v>
      </c>
    </row>
    <row r="26" customFormat="false" ht="150" hidden="false" customHeight="true" outlineLevel="0" collapsed="false">
      <c r="A26" s="26" t="n">
        <v>21</v>
      </c>
      <c r="B26" s="26" t="n">
        <v>1</v>
      </c>
      <c r="C26" s="22" t="s">
        <v>289</v>
      </c>
      <c r="D26" s="22" t="s">
        <v>89</v>
      </c>
      <c r="E26" s="22" t="s">
        <v>450</v>
      </c>
      <c r="F26" s="22" t="s">
        <v>291</v>
      </c>
      <c r="G26" s="22" t="str">
        <f aca="false">'Kamus Materi'!C59</f>
        <v>Active recall berarti mencoba mengingat tanpa melihat catatan. Spaced review adalah mengulang materi pada jeda berbeda; ulangi kesalahan lebih sering.</v>
      </c>
      <c r="H26" s="22" t="str">
        <f aca="false">'Kamus Materi'!D59</f>
        <v>Tutup catatan, sebutkan lima kata kemarin, kemudian periksa jawabannya.</v>
      </c>
      <c r="I26" s="22" t="s">
        <v>451</v>
      </c>
      <c r="J26" s="22" t="s">
        <v>403</v>
      </c>
      <c r="K26" s="35" t="s">
        <v>404</v>
      </c>
      <c r="L26" s="22" t="s">
        <v>452</v>
      </c>
      <c r="M26" s="22" t="s">
        <v>316</v>
      </c>
      <c r="N26" s="35" t="s">
        <v>317</v>
      </c>
      <c r="O26" s="22" t="s">
        <v>453</v>
      </c>
      <c r="P26" s="22" t="s">
        <v>454</v>
      </c>
      <c r="Q26" s="22" t="s">
        <v>455</v>
      </c>
      <c r="R26" s="22" t="s">
        <v>456</v>
      </c>
      <c r="S26" s="26" t="n">
        <f aca="false">Mulai!G6</f>
        <v>55</v>
      </c>
      <c r="T26" s="22" t="s">
        <v>457</v>
      </c>
    </row>
    <row r="27" customFormat="false" ht="150" hidden="false" customHeight="true" outlineLevel="0" collapsed="false">
      <c r="A27" s="26" t="n">
        <v>22</v>
      </c>
      <c r="B27" s="26" t="n">
        <v>1</v>
      </c>
      <c r="C27" s="22" t="s">
        <v>224</v>
      </c>
      <c r="D27" s="22" t="s">
        <v>90</v>
      </c>
      <c r="E27" s="22" t="s">
        <v>458</v>
      </c>
      <c r="F27" s="22" t="s">
        <v>459</v>
      </c>
      <c r="G27" s="22" t="str">
        <f aca="false">'Kamus Materi'!C23</f>
        <v>Bentuk ini menyatakan kebiasaan atau fakta. Pakai kata kerja dasar; untuk he/she/it tambahkan -s/-es sesuai ejaan.</v>
      </c>
      <c r="H27" s="22" t="str">
        <f aca="false">'Kamus Materi'!D23</f>
        <v>I build websites. She builds websites. = Saya/Dia membuat situs web.</v>
      </c>
      <c r="I27" s="22" t="s">
        <v>460</v>
      </c>
      <c r="J27" s="22" t="s">
        <v>461</v>
      </c>
      <c r="K27" s="35" t="s">
        <v>462</v>
      </c>
      <c r="L27" s="22" t="s">
        <v>463</v>
      </c>
      <c r="M27" s="22" t="s">
        <v>464</v>
      </c>
      <c r="N27" s="35" t="s">
        <v>465</v>
      </c>
      <c r="O27" s="22" t="s">
        <v>466</v>
      </c>
      <c r="P27" s="22" t="s">
        <v>467</v>
      </c>
      <c r="Q27" s="22" t="s">
        <v>468</v>
      </c>
      <c r="R27" s="22" t="s">
        <v>469</v>
      </c>
      <c r="S27" s="26" t="n">
        <f aca="false">Mulai!G6</f>
        <v>55</v>
      </c>
      <c r="T27" s="22" t="s">
        <v>470</v>
      </c>
    </row>
    <row r="28" customFormat="false" ht="150" hidden="false" customHeight="true" outlineLevel="0" collapsed="false">
      <c r="A28" s="26" t="n">
        <v>23</v>
      </c>
      <c r="B28" s="26" t="n">
        <v>1</v>
      </c>
      <c r="C28" s="22" t="s">
        <v>224</v>
      </c>
      <c r="D28" s="22" t="s">
        <v>91</v>
      </c>
      <c r="E28" s="22" t="s">
        <v>471</v>
      </c>
      <c r="F28" s="22" t="s">
        <v>459</v>
      </c>
      <c r="G28" s="22" t="str">
        <f aca="false">'Kamus Materi'!C23</f>
        <v>Bentuk ini menyatakan kebiasaan atau fakta. Pakai kata kerja dasar; untuk he/she/it tambahkan -s/-es sesuai ejaan.</v>
      </c>
      <c r="H28" s="22" t="str">
        <f aca="false">'Kamus Materi'!D23</f>
        <v>I build websites. She builds websites. = Saya/Dia membuat situs web.</v>
      </c>
      <c r="I28" s="22" t="s">
        <v>472</v>
      </c>
      <c r="J28" s="22" t="s">
        <v>461</v>
      </c>
      <c r="K28" s="35" t="s">
        <v>462</v>
      </c>
      <c r="L28" s="22" t="s">
        <v>473</v>
      </c>
      <c r="M28" s="22" t="s">
        <v>464</v>
      </c>
      <c r="N28" s="35" t="s">
        <v>465</v>
      </c>
      <c r="O28" s="22" t="s">
        <v>474</v>
      </c>
      <c r="P28" s="22" t="s">
        <v>475</v>
      </c>
      <c r="Q28" s="22" t="s">
        <v>476</v>
      </c>
      <c r="R28" s="22" t="s">
        <v>477</v>
      </c>
      <c r="S28" s="26" t="n">
        <f aca="false">Mulai!G6</f>
        <v>55</v>
      </c>
      <c r="T28" s="22" t="s">
        <v>478</v>
      </c>
    </row>
    <row r="29" customFormat="false" ht="150" hidden="false" customHeight="true" outlineLevel="0" collapsed="false">
      <c r="A29" s="26" t="n">
        <v>24</v>
      </c>
      <c r="B29" s="26" t="n">
        <v>1</v>
      </c>
      <c r="C29" s="22" t="s">
        <v>224</v>
      </c>
      <c r="D29" s="22" t="s">
        <v>92</v>
      </c>
      <c r="E29" s="22" t="s">
        <v>479</v>
      </c>
      <c r="F29" s="22" t="s">
        <v>480</v>
      </c>
      <c r="G29" s="22" t="str">
        <f aca="false">'Kamus Materi'!C24</f>
        <v>Do/does membantu pertanyaan dan penyangkalan simple present. Setelah does atau doesn't, kata kerja kembali ke bentuk dasar.</v>
      </c>
      <c r="H29" s="22" t="str">
        <f aca="false">'Kamus Materi'!D24</f>
        <v>Does he work here? He doesn't work here. Bukan does he works.</v>
      </c>
      <c r="I29" s="22" t="s">
        <v>481</v>
      </c>
      <c r="J29" s="22" t="s">
        <v>461</v>
      </c>
      <c r="K29" s="35" t="s">
        <v>462</v>
      </c>
      <c r="L29" s="22" t="s">
        <v>482</v>
      </c>
      <c r="M29" s="22" t="s">
        <v>483</v>
      </c>
      <c r="N29" s="35" t="s">
        <v>484</v>
      </c>
      <c r="O29" s="22" t="s">
        <v>485</v>
      </c>
      <c r="P29" s="22" t="s">
        <v>486</v>
      </c>
      <c r="Q29" s="22" t="s">
        <v>487</v>
      </c>
      <c r="R29" s="22" t="s">
        <v>488</v>
      </c>
      <c r="S29" s="26" t="n">
        <f aca="false">Mulai!G6</f>
        <v>55</v>
      </c>
      <c r="T29" s="22" t="s">
        <v>489</v>
      </c>
    </row>
    <row r="30" customFormat="false" ht="150" hidden="false" customHeight="true" outlineLevel="0" collapsed="false">
      <c r="A30" s="26" t="n">
        <v>25</v>
      </c>
      <c r="B30" s="26" t="n">
        <v>1</v>
      </c>
      <c r="C30" s="22" t="s">
        <v>224</v>
      </c>
      <c r="D30" s="22" t="s">
        <v>93</v>
      </c>
      <c r="E30" s="22" t="s">
        <v>490</v>
      </c>
      <c r="F30" s="22" t="s">
        <v>480</v>
      </c>
      <c r="G30" s="22" t="str">
        <f aca="false">'Kamus Materi'!C24</f>
        <v>Do/does membantu pertanyaan dan penyangkalan simple present. Setelah does atau doesn't, kata kerja kembali ke bentuk dasar.</v>
      </c>
      <c r="H30" s="22" t="str">
        <f aca="false">'Kamus Materi'!D24</f>
        <v>Does he work here? He doesn't work here. Bukan does he works.</v>
      </c>
      <c r="I30" s="22" t="s">
        <v>491</v>
      </c>
      <c r="J30" s="22" t="s">
        <v>302</v>
      </c>
      <c r="K30" s="35" t="s">
        <v>303</v>
      </c>
      <c r="L30" s="22" t="s">
        <v>492</v>
      </c>
      <c r="M30" s="22" t="s">
        <v>483</v>
      </c>
      <c r="N30" s="35" t="s">
        <v>484</v>
      </c>
      <c r="O30" s="22" t="s">
        <v>493</v>
      </c>
      <c r="P30" s="22" t="s">
        <v>494</v>
      </c>
      <c r="Q30" s="22" t="s">
        <v>495</v>
      </c>
      <c r="R30" s="22" t="s">
        <v>496</v>
      </c>
      <c r="S30" s="26" t="n">
        <f aca="false">Mulai!G6</f>
        <v>55</v>
      </c>
      <c r="T30" s="22" t="s">
        <v>497</v>
      </c>
    </row>
    <row r="31" customFormat="false" ht="150" hidden="false" customHeight="true" outlineLevel="0" collapsed="false">
      <c r="A31" s="26" t="n">
        <v>26</v>
      </c>
      <c r="B31" s="26" t="n">
        <v>1</v>
      </c>
      <c r="C31" s="22" t="s">
        <v>224</v>
      </c>
      <c r="D31" s="22" t="s">
        <v>94</v>
      </c>
      <c r="E31" s="22" t="s">
        <v>498</v>
      </c>
      <c r="F31" s="22" t="s">
        <v>499</v>
      </c>
      <c r="G31" s="22" t="str">
        <f aca="false">'Kamus Materi'!C25</f>
        <v>Always, usually, often, sometimes, never menyatakan seberapa sering. Umumnya sebelum kata kerja utama, tetapi setelah be.</v>
      </c>
      <c r="H31" s="22" t="str">
        <f aca="false">'Kamus Materi'!D25</f>
        <v>I usually study at night. I am often busy. = Saya biasanya belajar malam dan sering sibuk.</v>
      </c>
      <c r="I31" s="22" t="s">
        <v>500</v>
      </c>
      <c r="J31" s="22" t="s">
        <v>461</v>
      </c>
      <c r="K31" s="35" t="s">
        <v>462</v>
      </c>
      <c r="L31" s="22" t="s">
        <v>501</v>
      </c>
      <c r="M31" s="22" t="s">
        <v>464</v>
      </c>
      <c r="N31" s="35" t="s">
        <v>465</v>
      </c>
      <c r="O31" s="22" t="s">
        <v>502</v>
      </c>
      <c r="P31" s="22" t="s">
        <v>503</v>
      </c>
      <c r="Q31" s="22" t="s">
        <v>504</v>
      </c>
      <c r="R31" s="22" t="s">
        <v>505</v>
      </c>
      <c r="S31" s="26" t="n">
        <f aca="false">Mulai!G6</f>
        <v>55</v>
      </c>
      <c r="T31" s="22" t="s">
        <v>506</v>
      </c>
    </row>
    <row r="32" customFormat="false" ht="150" hidden="false" customHeight="true" outlineLevel="0" collapsed="false">
      <c r="A32" s="26" t="n">
        <v>27</v>
      </c>
      <c r="B32" s="26" t="n">
        <v>1</v>
      </c>
      <c r="C32" s="22" t="s">
        <v>224</v>
      </c>
      <c r="D32" s="22" t="s">
        <v>95</v>
      </c>
      <c r="E32" s="22" t="s">
        <v>507</v>
      </c>
      <c r="F32" s="22" t="s">
        <v>508</v>
      </c>
      <c r="G32" s="22" t="str">
        <f aca="false">'Kamus Materi'!C26</f>
        <v>At dipakai untuk jam; on untuk hari/tanggal; in untuk bulan/tahun atau bagian hari tertentu. Ada ungkapan khusus seperti at night.</v>
      </c>
      <c r="H32" s="22" t="str">
        <f aca="false">'Kamus Materi'!D26</f>
        <v>at 7 p.m.; on Monday; in September = pukul 7 malam; Senin; September.</v>
      </c>
      <c r="I32" s="22" t="s">
        <v>509</v>
      </c>
      <c r="J32" s="22" t="s">
        <v>510</v>
      </c>
      <c r="K32" s="35" t="s">
        <v>511</v>
      </c>
      <c r="L32" s="22" t="s">
        <v>512</v>
      </c>
      <c r="M32" s="22" t="s">
        <v>393</v>
      </c>
      <c r="N32" s="35" t="s">
        <v>394</v>
      </c>
      <c r="O32" s="22" t="s">
        <v>513</v>
      </c>
      <c r="P32" s="22" t="s">
        <v>514</v>
      </c>
      <c r="Q32" s="22" t="s">
        <v>515</v>
      </c>
      <c r="R32" s="22" t="s">
        <v>516</v>
      </c>
      <c r="S32" s="26" t="n">
        <f aca="false">Mulai!G6</f>
        <v>55</v>
      </c>
      <c r="T32" s="22" t="s">
        <v>517</v>
      </c>
    </row>
    <row r="33" customFormat="false" ht="150" hidden="false" customHeight="true" outlineLevel="0" collapsed="false">
      <c r="A33" s="26" t="n">
        <v>28</v>
      </c>
      <c r="B33" s="26" t="n">
        <v>1</v>
      </c>
      <c r="C33" s="22" t="s">
        <v>289</v>
      </c>
      <c r="D33" s="22" t="s">
        <v>96</v>
      </c>
      <c r="E33" s="22" t="s">
        <v>518</v>
      </c>
      <c r="F33" s="22" t="s">
        <v>291</v>
      </c>
      <c r="G33" s="22" t="str">
        <f aca="false">'Kamus Materi'!C59</f>
        <v>Active recall berarti mencoba mengingat tanpa melihat catatan. Spaced review adalah mengulang materi pada jeda berbeda; ulangi kesalahan lebih sering.</v>
      </c>
      <c r="H33" s="22" t="str">
        <f aca="false">'Kamus Materi'!D59</f>
        <v>Tutup catatan, sebutkan lima kata kemarin, kemudian periksa jawabannya.</v>
      </c>
      <c r="I33" s="22" t="s">
        <v>519</v>
      </c>
      <c r="J33" s="22" t="s">
        <v>390</v>
      </c>
      <c r="K33" s="35" t="s">
        <v>391</v>
      </c>
      <c r="L33" s="22" t="s">
        <v>520</v>
      </c>
      <c r="M33" s="22" t="s">
        <v>464</v>
      </c>
      <c r="N33" s="35" t="s">
        <v>465</v>
      </c>
      <c r="O33" s="22" t="s">
        <v>521</v>
      </c>
      <c r="P33" s="22" t="s">
        <v>522</v>
      </c>
      <c r="Q33" s="22" t="s">
        <v>523</v>
      </c>
      <c r="R33" s="22" t="s">
        <v>524</v>
      </c>
      <c r="S33" s="26" t="n">
        <f aca="false">Mulai!G6</f>
        <v>55</v>
      </c>
      <c r="T33" s="22" t="s">
        <v>525</v>
      </c>
    </row>
    <row r="34" customFormat="false" ht="150" hidden="false" customHeight="true" outlineLevel="0" collapsed="false">
      <c r="A34" s="26" t="n">
        <v>29</v>
      </c>
      <c r="B34" s="26" t="n">
        <v>1</v>
      </c>
      <c r="C34" s="22" t="s">
        <v>224</v>
      </c>
      <c r="D34" s="22" t="s">
        <v>97</v>
      </c>
      <c r="E34" s="22" t="s">
        <v>526</v>
      </c>
      <c r="F34" s="22" t="s">
        <v>527</v>
      </c>
      <c r="G34" s="22" t="str">
        <f aca="false">'Kamus Materi'!C60</f>
        <v>Pesan efektif menyebut tujuan, detail penting, dan tindakan yang diharapkan. Email lebih formal dapat memakai sapaan dan penutup yang sopan.</v>
      </c>
      <c r="H34" s="22" t="str">
        <f aca="false">'Kamus Materi'!D60</f>
        <v>Hi Ana, could you check the page? Thank you. = Hai Ana, bisa cek halamannya? Terima kasih.</v>
      </c>
      <c r="I34" s="22" t="s">
        <v>528</v>
      </c>
      <c r="J34" s="22" t="s">
        <v>529</v>
      </c>
      <c r="K34" s="35" t="s">
        <v>530</v>
      </c>
      <c r="L34" s="22" t="s">
        <v>531</v>
      </c>
      <c r="M34" s="22" t="s">
        <v>532</v>
      </c>
      <c r="N34" s="35" t="s">
        <v>533</v>
      </c>
      <c r="O34" s="22" t="s">
        <v>534</v>
      </c>
      <c r="P34" s="22" t="s">
        <v>535</v>
      </c>
      <c r="Q34" s="22" t="s">
        <v>536</v>
      </c>
      <c r="R34" s="22" t="s">
        <v>537</v>
      </c>
      <c r="S34" s="26" t="n">
        <f aca="false">Mulai!G6</f>
        <v>55</v>
      </c>
      <c r="T34" s="22" t="s">
        <v>538</v>
      </c>
    </row>
    <row r="35" customFormat="false" ht="150" hidden="false" customHeight="true" outlineLevel="0" collapsed="false">
      <c r="A35" s="26" t="n">
        <v>30</v>
      </c>
      <c r="B35" s="26" t="n">
        <v>1</v>
      </c>
      <c r="C35" s="22" t="s">
        <v>289</v>
      </c>
      <c r="D35" s="22" t="s">
        <v>98</v>
      </c>
      <c r="E35" s="22" t="s">
        <v>539</v>
      </c>
      <c r="F35" s="22" t="s">
        <v>540</v>
      </c>
      <c r="G35" s="22" t="str">
        <f aca="false">'Kamus Materi'!C63</f>
        <v>Rubrik adalah kriteria penilaian yang sama dari waktu ke waktu. Nilai latihan ini hanya alat belajar, bukan skor TOEFL atau sertifikasi CEFR.</v>
      </c>
      <c r="H35" s="22" t="str">
        <f aca="false">'Kamus Materi'!D63</f>
        <v>Bandingkan rekaman awal dan akhir: apakah pesan lebih lengkap dan mudah dipahami?</v>
      </c>
      <c r="I35" s="22" t="s">
        <v>541</v>
      </c>
      <c r="J35" s="22" t="s">
        <v>378</v>
      </c>
      <c r="K35" s="35" t="s">
        <v>379</v>
      </c>
      <c r="L35" s="22" t="s">
        <v>542</v>
      </c>
      <c r="M35" s="22" t="s">
        <v>239</v>
      </c>
      <c r="N35" s="35" t="s">
        <v>240</v>
      </c>
      <c r="O35" s="22" t="s">
        <v>543</v>
      </c>
      <c r="P35" s="22" t="s">
        <v>544</v>
      </c>
      <c r="Q35" s="22" t="s">
        <v>545</v>
      </c>
      <c r="R35" s="22" t="s">
        <v>546</v>
      </c>
      <c r="S35" s="26" t="n">
        <f aca="false">Mulai!G6</f>
        <v>55</v>
      </c>
      <c r="T35" s="22" t="s">
        <v>547</v>
      </c>
    </row>
    <row r="36" customFormat="false" ht="150" hidden="false" customHeight="true" outlineLevel="0" collapsed="false">
      <c r="A36" s="26" t="n">
        <v>31</v>
      </c>
      <c r="B36" s="26" t="n">
        <v>2</v>
      </c>
      <c r="C36" s="22" t="s">
        <v>224</v>
      </c>
      <c r="D36" s="22" t="s">
        <v>99</v>
      </c>
      <c r="E36" s="22" t="s">
        <v>548</v>
      </c>
      <c r="F36" s="22" t="s">
        <v>549</v>
      </c>
      <c r="G36" s="22" t="str">
        <f aca="false">'Kamus Materi'!C27</f>
        <v>Me, you, him, her, it, us, them menggantikan penerima tindakan atau mengikuti preposition; berbeda dari kata ganti subjek.</v>
      </c>
      <c r="H36" s="22" t="str">
        <f aca="false">'Kamus Materi'!D27</f>
        <v>She helps me. I work with her. = Dia membantu saya. Saya bekerja dengannya.</v>
      </c>
      <c r="I36" s="22" t="s">
        <v>550</v>
      </c>
      <c r="J36" s="22" t="s">
        <v>250</v>
      </c>
      <c r="K36" s="35" t="s">
        <v>251</v>
      </c>
      <c r="L36" s="22" t="s">
        <v>551</v>
      </c>
      <c r="M36" s="22" t="s">
        <v>316</v>
      </c>
      <c r="N36" s="35" t="s">
        <v>317</v>
      </c>
      <c r="O36" s="22" t="s">
        <v>552</v>
      </c>
      <c r="P36" s="22" t="s">
        <v>553</v>
      </c>
      <c r="Q36" s="22" t="s">
        <v>554</v>
      </c>
      <c r="R36" s="22" t="s">
        <v>555</v>
      </c>
      <c r="S36" s="26" t="n">
        <f aca="false">Mulai!G6</f>
        <v>55</v>
      </c>
      <c r="T36" s="22" t="s">
        <v>556</v>
      </c>
    </row>
    <row r="37" customFormat="false" ht="150" hidden="false" customHeight="true" outlineLevel="0" collapsed="false">
      <c r="A37" s="26" t="n">
        <v>32</v>
      </c>
      <c r="B37" s="26" t="n">
        <v>2</v>
      </c>
      <c r="C37" s="22" t="s">
        <v>224</v>
      </c>
      <c r="D37" s="22" t="s">
        <v>100</v>
      </c>
      <c r="E37" s="22" t="s">
        <v>557</v>
      </c>
      <c r="F37" s="22" t="s">
        <v>558</v>
      </c>
      <c r="G37" s="22" t="str">
        <f aca="false">'Kamus Materi'!C28</f>
        <v>Can menyatakan kemampuan atau izin sederhana, diikuti kata kerja dasar tanpa to dan tanpa -s. Bentuk negatifnya can't/cannot.</v>
      </c>
      <c r="H37" s="22" t="str">
        <f aca="false">'Kamus Materi'!D28</f>
        <v>I can write code. Can you help? = Saya bisa menulis kode. Bisa bantu?</v>
      </c>
      <c r="I37" s="22" t="s">
        <v>559</v>
      </c>
      <c r="J37" s="22" t="s">
        <v>560</v>
      </c>
      <c r="K37" s="35" t="s">
        <v>561</v>
      </c>
      <c r="L37" s="22" t="s">
        <v>562</v>
      </c>
      <c r="M37" s="22" t="s">
        <v>563</v>
      </c>
      <c r="N37" s="35" t="s">
        <v>564</v>
      </c>
      <c r="O37" s="22" t="s">
        <v>565</v>
      </c>
      <c r="P37" s="22" t="s">
        <v>566</v>
      </c>
      <c r="Q37" s="22" t="s">
        <v>567</v>
      </c>
      <c r="R37" s="22" t="s">
        <v>568</v>
      </c>
      <c r="S37" s="26" t="n">
        <f aca="false">Mulai!G6</f>
        <v>55</v>
      </c>
      <c r="T37" s="22" t="s">
        <v>569</v>
      </c>
    </row>
    <row r="38" customFormat="false" ht="150" hidden="false" customHeight="true" outlineLevel="0" collapsed="false">
      <c r="A38" s="26" t="n">
        <v>33</v>
      </c>
      <c r="B38" s="26" t="n">
        <v>2</v>
      </c>
      <c r="C38" s="22" t="s">
        <v>224</v>
      </c>
      <c r="D38" s="22" t="s">
        <v>101</v>
      </c>
      <c r="E38" s="22" t="s">
        <v>570</v>
      </c>
      <c r="F38" s="22" t="s">
        <v>558</v>
      </c>
      <c r="G38" s="22" t="str">
        <f aca="false">'Kamus Materi'!C28</f>
        <v>Can menyatakan kemampuan atau izin sederhana, diikuti kata kerja dasar tanpa to dan tanpa -s. Bentuk negatifnya can't/cannot.</v>
      </c>
      <c r="H38" s="22" t="str">
        <f aca="false">'Kamus Materi'!D28</f>
        <v>I can write code. Can you help? = Saya bisa menulis kode. Bisa bantu?</v>
      </c>
      <c r="I38" s="22" t="s">
        <v>571</v>
      </c>
      <c r="J38" s="22" t="s">
        <v>560</v>
      </c>
      <c r="K38" s="35" t="s">
        <v>561</v>
      </c>
      <c r="L38" s="22" t="s">
        <v>572</v>
      </c>
      <c r="M38" s="22" t="s">
        <v>563</v>
      </c>
      <c r="N38" s="35" t="s">
        <v>564</v>
      </c>
      <c r="O38" s="22" t="s">
        <v>573</v>
      </c>
      <c r="P38" s="22" t="s">
        <v>574</v>
      </c>
      <c r="Q38" s="22" t="s">
        <v>575</v>
      </c>
      <c r="R38" s="22" t="s">
        <v>576</v>
      </c>
      <c r="S38" s="26" t="n">
        <f aca="false">Mulai!G6</f>
        <v>55</v>
      </c>
      <c r="T38" s="22" t="s">
        <v>577</v>
      </c>
    </row>
    <row r="39" customFormat="false" ht="150" hidden="false" customHeight="true" outlineLevel="0" collapsed="false">
      <c r="A39" s="26" t="n">
        <v>34</v>
      </c>
      <c r="B39" s="26" t="n">
        <v>2</v>
      </c>
      <c r="C39" s="22" t="s">
        <v>224</v>
      </c>
      <c r="D39" s="22" t="s">
        <v>102</v>
      </c>
      <c r="E39" s="22" t="s">
        <v>578</v>
      </c>
      <c r="F39" s="22" t="s">
        <v>579</v>
      </c>
      <c r="G39" s="22" t="str">
        <f aca="false">'Kamus Materi'!C29</f>
        <v>Can you/Could you + kata kerja dasar digunakan untuk meminta bantuan. Could biasanya terasa lebih sopan, bukan selalu menunjukkan masa lalu.</v>
      </c>
      <c r="H39" s="22" t="str">
        <f aca="false">'Kamus Materi'!D29</f>
        <v>Could you repeat that, please? = Bisa tolong diulangi?</v>
      </c>
      <c r="I39" s="22" t="s">
        <v>580</v>
      </c>
      <c r="J39" s="22" t="s">
        <v>560</v>
      </c>
      <c r="K39" s="35" t="s">
        <v>561</v>
      </c>
      <c r="L39" s="22" t="s">
        <v>581</v>
      </c>
      <c r="M39" s="22" t="s">
        <v>582</v>
      </c>
      <c r="N39" s="35" t="s">
        <v>583</v>
      </c>
      <c r="O39" s="22" t="s">
        <v>584</v>
      </c>
      <c r="P39" s="22" t="s">
        <v>585</v>
      </c>
      <c r="Q39" s="22" t="s">
        <v>586</v>
      </c>
      <c r="R39" s="22" t="s">
        <v>587</v>
      </c>
      <c r="S39" s="26" t="n">
        <f aca="false">Mulai!G6</f>
        <v>55</v>
      </c>
      <c r="T39" s="22" t="s">
        <v>588</v>
      </c>
    </row>
    <row r="40" customFormat="false" ht="150" hidden="false" customHeight="true" outlineLevel="0" collapsed="false">
      <c r="A40" s="26" t="n">
        <v>35</v>
      </c>
      <c r="B40" s="26" t="n">
        <v>2</v>
      </c>
      <c r="C40" s="22" t="s">
        <v>224</v>
      </c>
      <c r="D40" s="22" t="s">
        <v>103</v>
      </c>
      <c r="E40" s="22" t="s">
        <v>589</v>
      </c>
      <c r="F40" s="22" t="s">
        <v>590</v>
      </c>
      <c r="G40" s="22" t="str">
        <f aca="false">'Kamus Materi'!C30</f>
        <v>Kalimat perintah memakai kata kerja dasar tanpa subjek yang disebutkan. Tambahkan please agar lebih sopan; Don't + verb untuk larangan.</v>
      </c>
      <c r="H40" s="22" t="str">
        <f aca="false">'Kamus Materi'!D30</f>
        <v>Please open the file. Don't close the tab. = Buka berkasnya. Jangan tutup tab.</v>
      </c>
      <c r="I40" s="22" t="s">
        <v>591</v>
      </c>
      <c r="J40" s="22" t="s">
        <v>592</v>
      </c>
      <c r="K40" s="35" t="s">
        <v>593</v>
      </c>
      <c r="L40" s="22" t="s">
        <v>594</v>
      </c>
      <c r="M40" s="22" t="s">
        <v>595</v>
      </c>
      <c r="N40" s="35" t="s">
        <v>596</v>
      </c>
      <c r="O40" s="22" t="s">
        <v>597</v>
      </c>
      <c r="P40" s="22" t="s">
        <v>598</v>
      </c>
      <c r="Q40" s="22" t="s">
        <v>599</v>
      </c>
      <c r="R40" s="22" t="s">
        <v>600</v>
      </c>
      <c r="S40" s="26" t="n">
        <f aca="false">Mulai!G6</f>
        <v>55</v>
      </c>
      <c r="T40" s="22" t="s">
        <v>601</v>
      </c>
    </row>
    <row r="41" customFormat="false" ht="150" hidden="false" customHeight="true" outlineLevel="0" collapsed="false">
      <c r="A41" s="26" t="n">
        <v>36</v>
      </c>
      <c r="B41" s="26" t="n">
        <v>2</v>
      </c>
      <c r="C41" s="22" t="s">
        <v>224</v>
      </c>
      <c r="D41" s="22" t="s">
        <v>104</v>
      </c>
      <c r="E41" s="22" t="s">
        <v>602</v>
      </c>
      <c r="F41" s="22" t="s">
        <v>603</v>
      </c>
      <c r="G41" s="22" t="str">
        <f aca="false">'Kamus Materi'!C33</f>
        <v>Like/love/enjoy dapat mengungkapkan kesukaan. Untuk aktivitas, latih like/love/enjoy + verb-ing; enjoy tidak diikuti to + verb.</v>
      </c>
      <c r="H41" s="22" t="str">
        <f aca="false">'Kamus Materi'!D33</f>
        <v>I enjoy reading. = Saya menikmati membaca. Bukan enjoy to read.</v>
      </c>
      <c r="I41" s="22" t="s">
        <v>604</v>
      </c>
      <c r="J41" s="22" t="s">
        <v>605</v>
      </c>
      <c r="K41" s="35" t="s">
        <v>606</v>
      </c>
      <c r="L41" s="22" t="s">
        <v>607</v>
      </c>
      <c r="M41" s="22" t="s">
        <v>608</v>
      </c>
      <c r="N41" s="35" t="s">
        <v>609</v>
      </c>
      <c r="O41" s="22" t="s">
        <v>610</v>
      </c>
      <c r="P41" s="22" t="s">
        <v>611</v>
      </c>
      <c r="Q41" s="22" t="s">
        <v>612</v>
      </c>
      <c r="R41" s="22" t="s">
        <v>613</v>
      </c>
      <c r="S41" s="26" t="n">
        <f aca="false">Mulai!G6</f>
        <v>55</v>
      </c>
      <c r="T41" s="22" t="s">
        <v>614</v>
      </c>
    </row>
    <row r="42" customFormat="false" ht="150" hidden="false" customHeight="true" outlineLevel="0" collapsed="false">
      <c r="A42" s="26" t="n">
        <v>37</v>
      </c>
      <c r="B42" s="26" t="n">
        <v>2</v>
      </c>
      <c r="C42" s="22" t="s">
        <v>289</v>
      </c>
      <c r="D42" s="22" t="s">
        <v>105</v>
      </c>
      <c r="E42" s="22" t="s">
        <v>615</v>
      </c>
      <c r="F42" s="22" t="s">
        <v>291</v>
      </c>
      <c r="G42" s="22" t="str">
        <f aca="false">'Kamus Materi'!C59</f>
        <v>Active recall berarti mencoba mengingat tanpa melihat catatan. Spaced review adalah mengulang materi pada jeda berbeda; ulangi kesalahan lebih sering.</v>
      </c>
      <c r="H42" s="22" t="str">
        <f aca="false">'Kamus Materi'!D59</f>
        <v>Tutup catatan, sebutkan lima kata kemarin, kemudian periksa jawabannya.</v>
      </c>
      <c r="I42" s="22" t="s">
        <v>616</v>
      </c>
      <c r="J42" s="22" t="s">
        <v>560</v>
      </c>
      <c r="K42" s="35" t="s">
        <v>561</v>
      </c>
      <c r="L42" s="22" t="s">
        <v>617</v>
      </c>
      <c r="M42" s="22" t="s">
        <v>563</v>
      </c>
      <c r="N42" s="35" t="s">
        <v>564</v>
      </c>
      <c r="O42" s="22" t="s">
        <v>618</v>
      </c>
      <c r="P42" s="22" t="s">
        <v>619</v>
      </c>
      <c r="Q42" s="22" t="s">
        <v>620</v>
      </c>
      <c r="R42" s="22" t="s">
        <v>621</v>
      </c>
      <c r="S42" s="26" t="n">
        <f aca="false">Mulai!G6</f>
        <v>55</v>
      </c>
      <c r="T42" s="22" t="s">
        <v>622</v>
      </c>
    </row>
    <row r="43" customFormat="false" ht="150" hidden="false" customHeight="true" outlineLevel="0" collapsed="false">
      <c r="A43" s="26" t="n">
        <v>38</v>
      </c>
      <c r="B43" s="26" t="n">
        <v>2</v>
      </c>
      <c r="C43" s="22" t="s">
        <v>224</v>
      </c>
      <c r="D43" s="22" t="s">
        <v>106</v>
      </c>
      <c r="E43" s="22" t="s">
        <v>623</v>
      </c>
      <c r="F43" s="22" t="s">
        <v>624</v>
      </c>
      <c r="G43" s="22" t="str">
        <f aca="false">'Kamus Materi'!C31</f>
        <v>Am/is/are + verb-ing menyatakan aktivitas yang sedang berlangsung sekarang atau sekitar sekarang. Jangan hilangkan be.</v>
      </c>
      <c r="H43" s="22" t="str">
        <f aca="false">'Kamus Materi'!D31</f>
        <v>I am testing the page now. = Saya sedang menguji halaman sekarang.</v>
      </c>
      <c r="I43" s="22" t="s">
        <v>625</v>
      </c>
      <c r="J43" s="22" t="s">
        <v>626</v>
      </c>
      <c r="K43" s="35" t="s">
        <v>627</v>
      </c>
      <c r="L43" s="22" t="s">
        <v>628</v>
      </c>
      <c r="M43" s="22" t="s">
        <v>629</v>
      </c>
      <c r="N43" s="35" t="s">
        <v>630</v>
      </c>
      <c r="O43" s="22" t="s">
        <v>631</v>
      </c>
      <c r="P43" s="22" t="s">
        <v>632</v>
      </c>
      <c r="Q43" s="22" t="s">
        <v>633</v>
      </c>
      <c r="R43" s="22" t="s">
        <v>634</v>
      </c>
      <c r="S43" s="26" t="n">
        <f aca="false">Mulai!G6</f>
        <v>55</v>
      </c>
      <c r="T43" s="22" t="s">
        <v>635</v>
      </c>
    </row>
    <row r="44" customFormat="false" ht="150" hidden="false" customHeight="true" outlineLevel="0" collapsed="false">
      <c r="A44" s="26" t="n">
        <v>39</v>
      </c>
      <c r="B44" s="26" t="n">
        <v>2</v>
      </c>
      <c r="C44" s="22" t="s">
        <v>224</v>
      </c>
      <c r="D44" s="22" t="s">
        <v>107</v>
      </c>
      <c r="E44" s="22" t="s">
        <v>636</v>
      </c>
      <c r="F44" s="22" t="s">
        <v>624</v>
      </c>
      <c r="G44" s="22" t="str">
        <f aca="false">'Kamus Materi'!C31</f>
        <v>Am/is/are + verb-ing menyatakan aktivitas yang sedang berlangsung sekarang atau sekitar sekarang. Jangan hilangkan be.</v>
      </c>
      <c r="H44" s="22" t="str">
        <f aca="false">'Kamus Materi'!D31</f>
        <v>I am testing the page now. = Saya sedang menguji halaman sekarang.</v>
      </c>
      <c r="I44" s="22" t="s">
        <v>637</v>
      </c>
      <c r="J44" s="22" t="s">
        <v>626</v>
      </c>
      <c r="K44" s="35" t="s">
        <v>627</v>
      </c>
      <c r="L44" s="22" t="s">
        <v>638</v>
      </c>
      <c r="M44" s="22" t="s">
        <v>532</v>
      </c>
      <c r="N44" s="35" t="s">
        <v>533</v>
      </c>
      <c r="O44" s="22" t="s">
        <v>639</v>
      </c>
      <c r="P44" s="22" t="s">
        <v>640</v>
      </c>
      <c r="Q44" s="22" t="s">
        <v>641</v>
      </c>
      <c r="R44" s="22" t="s">
        <v>642</v>
      </c>
      <c r="S44" s="26" t="n">
        <f aca="false">Mulai!G6</f>
        <v>55</v>
      </c>
      <c r="T44" s="22" t="s">
        <v>643</v>
      </c>
    </row>
    <row r="45" customFormat="false" ht="150" hidden="false" customHeight="true" outlineLevel="0" collapsed="false">
      <c r="A45" s="26" t="n">
        <v>40</v>
      </c>
      <c r="B45" s="26" t="n">
        <v>2</v>
      </c>
      <c r="C45" s="22" t="s">
        <v>224</v>
      </c>
      <c r="D45" s="22" t="s">
        <v>108</v>
      </c>
      <c r="E45" s="22" t="s">
        <v>644</v>
      </c>
      <c r="F45" s="22" t="s">
        <v>645</v>
      </c>
      <c r="G45" s="22" t="str">
        <f aca="false">'Kamus Materi'!C32</f>
        <v>Simple present menyoroti kebiasaan/fakta; present continuous menyoroti kegiatan yang sedang berlangsung. Pilih berdasarkan maksud, bukan hanya kata waktu.</v>
      </c>
      <c r="H45" s="22" t="str">
        <f aca="false">'Kamus Materi'!D32</f>
        <v>I work at home. I am working now. = Saya bekerja di rumah; sekarang sedang bekerja.</v>
      </c>
      <c r="I45" s="22" t="s">
        <v>646</v>
      </c>
      <c r="J45" s="22" t="s">
        <v>626</v>
      </c>
      <c r="K45" s="35" t="s">
        <v>627</v>
      </c>
      <c r="L45" s="22" t="s">
        <v>647</v>
      </c>
      <c r="M45" s="22" t="s">
        <v>629</v>
      </c>
      <c r="N45" s="35" t="s">
        <v>630</v>
      </c>
      <c r="O45" s="22" t="s">
        <v>648</v>
      </c>
      <c r="P45" s="22" t="s">
        <v>649</v>
      </c>
      <c r="Q45" s="22" t="s">
        <v>650</v>
      </c>
      <c r="R45" s="22" t="s">
        <v>651</v>
      </c>
      <c r="S45" s="26" t="n">
        <f aca="false">Mulai!G6</f>
        <v>55</v>
      </c>
      <c r="T45" s="22" t="s">
        <v>652</v>
      </c>
    </row>
    <row r="46" customFormat="false" ht="150" hidden="false" customHeight="true" outlineLevel="0" collapsed="false">
      <c r="A46" s="26" t="n">
        <v>41</v>
      </c>
      <c r="B46" s="26" t="n">
        <v>2</v>
      </c>
      <c r="C46" s="22" t="s">
        <v>224</v>
      </c>
      <c r="D46" s="22" t="s">
        <v>109</v>
      </c>
      <c r="E46" s="22" t="s">
        <v>653</v>
      </c>
      <c r="F46" s="22" t="s">
        <v>355</v>
      </c>
      <c r="G46" s="22" t="str">
        <f aca="false">'Kamus Materi'!C17</f>
        <v>Adjective adalah kata sifat yang menjelaskan orang atau benda. Biasanya berada sebelum noun atau setelah be; tidak berubah menjadi jamak.</v>
      </c>
      <c r="H46" s="22" t="str">
        <f aca="false">'Kamus Materi'!D17</f>
        <v>a small room; The room is small. = kamar kecil; Kamar itu kecil.</v>
      </c>
      <c r="I46" s="22" t="s">
        <v>654</v>
      </c>
      <c r="J46" s="22" t="s">
        <v>360</v>
      </c>
      <c r="K46" s="35" t="s">
        <v>361</v>
      </c>
      <c r="L46" s="22" t="s">
        <v>655</v>
      </c>
      <c r="M46" s="22" t="s">
        <v>360</v>
      </c>
      <c r="N46" s="35" t="s">
        <v>361</v>
      </c>
      <c r="O46" s="22" t="s">
        <v>656</v>
      </c>
      <c r="P46" s="22" t="s">
        <v>657</v>
      </c>
      <c r="Q46" s="22" t="s">
        <v>658</v>
      </c>
      <c r="R46" s="22" t="s">
        <v>659</v>
      </c>
      <c r="S46" s="26" t="n">
        <f aca="false">Mulai!G6</f>
        <v>55</v>
      </c>
      <c r="T46" s="22" t="s">
        <v>660</v>
      </c>
    </row>
    <row r="47" customFormat="false" ht="150" hidden="false" customHeight="true" outlineLevel="0" collapsed="false">
      <c r="A47" s="26" t="n">
        <v>42</v>
      </c>
      <c r="B47" s="26" t="n">
        <v>2</v>
      </c>
      <c r="C47" s="22" t="s">
        <v>224</v>
      </c>
      <c r="D47" s="22" t="s">
        <v>110</v>
      </c>
      <c r="E47" s="22" t="s">
        <v>661</v>
      </c>
      <c r="F47" s="22" t="s">
        <v>355</v>
      </c>
      <c r="G47" s="22" t="str">
        <f aca="false">'Kamus Materi'!C17</f>
        <v>Adjective adalah kata sifat yang menjelaskan orang atau benda. Biasanya berada sebelum noun atau setelah be; tidak berubah menjadi jamak.</v>
      </c>
      <c r="H47" s="22" t="str">
        <f aca="false">'Kamus Materi'!D17</f>
        <v>a small room; The room is small. = kamar kecil; Kamar itu kecil.</v>
      </c>
      <c r="I47" s="22" t="s">
        <v>662</v>
      </c>
      <c r="J47" s="22" t="s">
        <v>663</v>
      </c>
      <c r="K47" s="35" t="s">
        <v>664</v>
      </c>
      <c r="L47" s="22" t="s">
        <v>665</v>
      </c>
      <c r="M47" s="22" t="s">
        <v>663</v>
      </c>
      <c r="N47" s="35" t="s">
        <v>664</v>
      </c>
      <c r="O47" s="22" t="s">
        <v>666</v>
      </c>
      <c r="P47" s="22" t="s">
        <v>667</v>
      </c>
      <c r="Q47" s="22" t="s">
        <v>668</v>
      </c>
      <c r="R47" s="22" t="s">
        <v>669</v>
      </c>
      <c r="S47" s="26" t="n">
        <f aca="false">Mulai!G6</f>
        <v>55</v>
      </c>
      <c r="T47" s="22" t="s">
        <v>670</v>
      </c>
    </row>
    <row r="48" customFormat="false" ht="150" hidden="false" customHeight="true" outlineLevel="0" collapsed="false">
      <c r="A48" s="26" t="n">
        <v>43</v>
      </c>
      <c r="B48" s="26" t="n">
        <v>2</v>
      </c>
      <c r="C48" s="22" t="s">
        <v>224</v>
      </c>
      <c r="D48" s="22" t="s">
        <v>111</v>
      </c>
      <c r="E48" s="22" t="s">
        <v>671</v>
      </c>
      <c r="F48" s="22" t="s">
        <v>414</v>
      </c>
      <c r="G48" s="22" t="str">
        <f aca="false">'Kamus Materi'!C20</f>
        <v>Preposition of place menunjukkan lokasi. In umumnya di dalam/area; on di atas permukaan; at pada suatu titik atau tempat kegiatan.</v>
      </c>
      <c r="H48" s="22" t="str">
        <f aca="false">'Kamus Materi'!D20</f>
        <v>The mouse is on the desk. = Mouse ada di atas meja.</v>
      </c>
      <c r="I48" s="22" t="s">
        <v>672</v>
      </c>
      <c r="J48" s="22" t="s">
        <v>673</v>
      </c>
      <c r="K48" s="35" t="s">
        <v>674</v>
      </c>
      <c r="L48" s="22" t="s">
        <v>675</v>
      </c>
      <c r="M48" s="22" t="s">
        <v>673</v>
      </c>
      <c r="N48" s="35" t="s">
        <v>674</v>
      </c>
      <c r="O48" s="22" t="s">
        <v>676</v>
      </c>
      <c r="P48" s="22" t="s">
        <v>677</v>
      </c>
      <c r="Q48" s="22" t="s">
        <v>678</v>
      </c>
      <c r="R48" s="22" t="s">
        <v>679</v>
      </c>
      <c r="S48" s="26" t="n">
        <f aca="false">Mulai!G6</f>
        <v>55</v>
      </c>
      <c r="T48" s="22" t="s">
        <v>680</v>
      </c>
    </row>
    <row r="49" customFormat="false" ht="150" hidden="false" customHeight="true" outlineLevel="0" collapsed="false">
      <c r="A49" s="26" t="n">
        <v>44</v>
      </c>
      <c r="B49" s="26" t="n">
        <v>2</v>
      </c>
      <c r="C49" s="22" t="s">
        <v>289</v>
      </c>
      <c r="D49" s="22" t="s">
        <v>112</v>
      </c>
      <c r="E49" s="22" t="s">
        <v>681</v>
      </c>
      <c r="F49" s="22" t="s">
        <v>291</v>
      </c>
      <c r="G49" s="22" t="str">
        <f aca="false">'Kamus Materi'!C59</f>
        <v>Active recall berarti mencoba mengingat tanpa melihat catatan. Spaced review adalah mengulang materi pada jeda berbeda; ulangi kesalahan lebih sering.</v>
      </c>
      <c r="H49" s="22" t="str">
        <f aca="false">'Kamus Materi'!D59</f>
        <v>Tutup catatan, sebutkan lima kata kemarin, kemudian periksa jawabannya.</v>
      </c>
      <c r="I49" s="22" t="s">
        <v>682</v>
      </c>
      <c r="J49" s="22" t="s">
        <v>416</v>
      </c>
      <c r="K49" s="35" t="s">
        <v>417</v>
      </c>
      <c r="L49" s="22" t="s">
        <v>683</v>
      </c>
      <c r="M49" s="22" t="s">
        <v>629</v>
      </c>
      <c r="N49" s="35" t="s">
        <v>630</v>
      </c>
      <c r="O49" s="22" t="s">
        <v>684</v>
      </c>
      <c r="P49" s="22" t="s">
        <v>685</v>
      </c>
      <c r="Q49" s="22" t="s">
        <v>686</v>
      </c>
      <c r="R49" s="22" t="s">
        <v>687</v>
      </c>
      <c r="S49" s="26" t="n">
        <f aca="false">Mulai!G6</f>
        <v>55</v>
      </c>
      <c r="T49" s="22" t="s">
        <v>688</v>
      </c>
    </row>
    <row r="50" customFormat="false" ht="150" hidden="false" customHeight="true" outlineLevel="0" collapsed="false">
      <c r="A50" s="26" t="n">
        <v>45</v>
      </c>
      <c r="B50" s="26" t="n">
        <v>2</v>
      </c>
      <c r="C50" s="22" t="s">
        <v>224</v>
      </c>
      <c r="D50" s="22" t="s">
        <v>113</v>
      </c>
      <c r="E50" s="22" t="s">
        <v>689</v>
      </c>
      <c r="F50" s="22" t="s">
        <v>690</v>
      </c>
      <c r="G50" s="22" t="str">
        <f aca="false">'Kamus Materi'!C34</f>
        <v>Countable noun dapat dihitung satuan (a book, two books). Uncountable noun diperlakukan sebagai massa (water, information); gunakan satuan seperti a glass of water.</v>
      </c>
      <c r="H50" s="22" t="str">
        <f aca="false">'Kamus Materi'!D34</f>
        <v>some water; two glasses of water = air; dua gelas air.</v>
      </c>
      <c r="I50" s="22" t="s">
        <v>691</v>
      </c>
      <c r="J50" s="22" t="s">
        <v>326</v>
      </c>
      <c r="K50" s="35" t="s">
        <v>327</v>
      </c>
      <c r="L50" s="22" t="s">
        <v>692</v>
      </c>
      <c r="M50" s="22" t="s">
        <v>693</v>
      </c>
      <c r="N50" s="35" t="s">
        <v>694</v>
      </c>
      <c r="O50" s="22" t="s">
        <v>695</v>
      </c>
      <c r="P50" s="22" t="s">
        <v>696</v>
      </c>
      <c r="Q50" s="22" t="s">
        <v>697</v>
      </c>
      <c r="R50" s="22" t="s">
        <v>698</v>
      </c>
      <c r="S50" s="26" t="n">
        <f aca="false">Mulai!G6</f>
        <v>55</v>
      </c>
      <c r="T50" s="22" t="s">
        <v>699</v>
      </c>
    </row>
    <row r="51" customFormat="false" ht="150" hidden="false" customHeight="true" outlineLevel="0" collapsed="false">
      <c r="A51" s="26" t="n">
        <v>46</v>
      </c>
      <c r="B51" s="26" t="n">
        <v>2</v>
      </c>
      <c r="C51" s="22" t="s">
        <v>224</v>
      </c>
      <c r="D51" s="22" t="s">
        <v>114</v>
      </c>
      <c r="E51" s="22" t="s">
        <v>700</v>
      </c>
      <c r="F51" s="22" t="s">
        <v>701</v>
      </c>
      <c r="G51" s="22" t="str">
        <f aca="false">'Kamus Materi'!C35</f>
        <v>Some lazim dalam pernyataan positif; any lazim dalam pertanyaan dan negatif. Some juga sering digunakan pada tawaran atau permintaan tertentu.</v>
      </c>
      <c r="H51" s="22" t="str">
        <f aca="false">'Kamus Materi'!D35</f>
        <v>I have some rice. Do you have any eggs? = Saya punya nasi. Ada telur?</v>
      </c>
      <c r="I51" s="22" t="s">
        <v>702</v>
      </c>
      <c r="J51" s="22" t="s">
        <v>326</v>
      </c>
      <c r="K51" s="35" t="s">
        <v>327</v>
      </c>
      <c r="L51" s="22" t="s">
        <v>703</v>
      </c>
      <c r="M51" s="22" t="s">
        <v>693</v>
      </c>
      <c r="N51" s="35" t="s">
        <v>694</v>
      </c>
      <c r="O51" s="22" t="s">
        <v>704</v>
      </c>
      <c r="P51" s="22" t="s">
        <v>705</v>
      </c>
      <c r="Q51" s="22" t="s">
        <v>706</v>
      </c>
      <c r="R51" s="22" t="s">
        <v>707</v>
      </c>
      <c r="S51" s="26" t="n">
        <f aca="false">Mulai!G6</f>
        <v>55</v>
      </c>
      <c r="T51" s="22" t="s">
        <v>708</v>
      </c>
    </row>
    <row r="52" customFormat="false" ht="150" hidden="false" customHeight="true" outlineLevel="0" collapsed="false">
      <c r="A52" s="26" t="n">
        <v>47</v>
      </c>
      <c r="B52" s="26" t="n">
        <v>2</v>
      </c>
      <c r="C52" s="22" t="s">
        <v>224</v>
      </c>
      <c r="D52" s="22" t="s">
        <v>115</v>
      </c>
      <c r="E52" s="22" t="s">
        <v>709</v>
      </c>
      <c r="F52" s="22" t="s">
        <v>710</v>
      </c>
      <c r="G52" s="22" t="str">
        <f aca="false">'Kamus Materi'!C36</f>
        <v>Many dipakai dengan countable jamak; much dengan uncountable. How much juga menanyakan harga; a lot of dapat dipakai untuk keduanya.</v>
      </c>
      <c r="H52" s="22" t="str">
        <f aca="false">'Kamus Materi'!D36</f>
        <v>How many books? How much water? = Berapa buku? Berapa banyak air?</v>
      </c>
      <c r="I52" s="22" t="s">
        <v>711</v>
      </c>
      <c r="J52" s="22" t="s">
        <v>326</v>
      </c>
      <c r="K52" s="35" t="s">
        <v>327</v>
      </c>
      <c r="L52" s="22" t="s">
        <v>712</v>
      </c>
      <c r="M52" s="22" t="s">
        <v>713</v>
      </c>
      <c r="N52" s="35" t="s">
        <v>714</v>
      </c>
      <c r="O52" s="22" t="s">
        <v>715</v>
      </c>
      <c r="P52" s="22" t="s">
        <v>716</v>
      </c>
      <c r="Q52" s="22" t="s">
        <v>717</v>
      </c>
      <c r="R52" s="22" t="s">
        <v>718</v>
      </c>
      <c r="S52" s="26" t="n">
        <f aca="false">Mulai!G6</f>
        <v>55</v>
      </c>
      <c r="T52" s="22" t="s">
        <v>719</v>
      </c>
    </row>
    <row r="53" customFormat="false" ht="150" hidden="false" customHeight="true" outlineLevel="0" collapsed="false">
      <c r="A53" s="26" t="n">
        <v>48</v>
      </c>
      <c r="B53" s="26" t="n">
        <v>2</v>
      </c>
      <c r="C53" s="22" t="s">
        <v>224</v>
      </c>
      <c r="D53" s="22" t="s">
        <v>116</v>
      </c>
      <c r="E53" s="22" t="s">
        <v>720</v>
      </c>
      <c r="F53" s="22" t="s">
        <v>721</v>
      </c>
      <c r="G53" s="22" t="str">
        <f aca="false">'Kamus Materi'!C37</f>
        <v>Want berarti ingin; need berarti perlu. Want/need + to + verb menyatakan tindakan yang diinginkan/diperlukan. Would like terdengar lebih sopan untuk meminta.</v>
      </c>
      <c r="H53" s="22" t="str">
        <f aca="false">'Kamus Materi'!D37</f>
        <v>I'd like some tea. I need to study. = Saya ingin teh. Saya perlu belajar.</v>
      </c>
      <c r="I53" s="22" t="s">
        <v>722</v>
      </c>
      <c r="J53" s="22" t="s">
        <v>723</v>
      </c>
      <c r="K53" s="35" t="s">
        <v>724</v>
      </c>
      <c r="L53" s="22" t="s">
        <v>725</v>
      </c>
      <c r="M53" s="22" t="s">
        <v>713</v>
      </c>
      <c r="N53" s="35" t="s">
        <v>714</v>
      </c>
      <c r="O53" s="22" t="s">
        <v>726</v>
      </c>
      <c r="P53" s="22" t="s">
        <v>727</v>
      </c>
      <c r="Q53" s="22" t="s">
        <v>728</v>
      </c>
      <c r="R53" s="22" t="s">
        <v>729</v>
      </c>
      <c r="S53" s="26" t="n">
        <f aca="false">Mulai!G6</f>
        <v>55</v>
      </c>
      <c r="T53" s="22" t="s">
        <v>730</v>
      </c>
    </row>
    <row r="54" customFormat="false" ht="150" hidden="false" customHeight="true" outlineLevel="0" collapsed="false">
      <c r="A54" s="26" t="n">
        <v>49</v>
      </c>
      <c r="B54" s="26" t="n">
        <v>2</v>
      </c>
      <c r="C54" s="22" t="s">
        <v>224</v>
      </c>
      <c r="D54" s="22" t="s">
        <v>117</v>
      </c>
      <c r="E54" s="22" t="s">
        <v>731</v>
      </c>
      <c r="F54" s="22" t="s">
        <v>579</v>
      </c>
      <c r="G54" s="22" t="str">
        <f aca="false">'Kamus Materi'!C29</f>
        <v>Can you/Could you + kata kerja dasar digunakan untuk meminta bantuan. Could biasanya terasa lebih sopan, bukan selalu menunjukkan masa lalu.</v>
      </c>
      <c r="H54" s="22" t="str">
        <f aca="false">'Kamus Materi'!D29</f>
        <v>Could you repeat that, please? = Bisa tolong diulangi?</v>
      </c>
      <c r="I54" s="22" t="s">
        <v>732</v>
      </c>
      <c r="J54" s="22" t="s">
        <v>733</v>
      </c>
      <c r="K54" s="35" t="s">
        <v>734</v>
      </c>
      <c r="L54" s="22" t="s">
        <v>735</v>
      </c>
      <c r="M54" s="22" t="s">
        <v>736</v>
      </c>
      <c r="N54" s="35" t="s">
        <v>737</v>
      </c>
      <c r="O54" s="22" t="s">
        <v>738</v>
      </c>
      <c r="P54" s="22" t="s">
        <v>739</v>
      </c>
      <c r="Q54" s="22" t="s">
        <v>740</v>
      </c>
      <c r="R54" s="22" t="s">
        <v>741</v>
      </c>
      <c r="S54" s="26" t="n">
        <f aca="false">Mulai!G6</f>
        <v>55</v>
      </c>
      <c r="T54" s="22" t="s">
        <v>742</v>
      </c>
    </row>
    <row r="55" customFormat="false" ht="150" hidden="false" customHeight="true" outlineLevel="0" collapsed="false">
      <c r="A55" s="26" t="n">
        <v>50</v>
      </c>
      <c r="B55" s="26" t="n">
        <v>2</v>
      </c>
      <c r="C55" s="22" t="s">
        <v>224</v>
      </c>
      <c r="D55" s="22" t="s">
        <v>118</v>
      </c>
      <c r="E55" s="22" t="s">
        <v>743</v>
      </c>
      <c r="F55" s="22" t="s">
        <v>527</v>
      </c>
      <c r="G55" s="22" t="str">
        <f aca="false">'Kamus Materi'!C60</f>
        <v>Pesan efektif menyebut tujuan, detail penting, dan tindakan yang diharapkan. Email lebih formal dapat memakai sapaan dan penutup yang sopan.</v>
      </c>
      <c r="H55" s="22" t="str">
        <f aca="false">'Kamus Materi'!D60</f>
        <v>Hi Ana, could you check the page? Thank you. = Hai Ana, bisa cek halamannya? Terima kasih.</v>
      </c>
      <c r="I55" s="22" t="s">
        <v>744</v>
      </c>
      <c r="J55" s="22" t="s">
        <v>529</v>
      </c>
      <c r="K55" s="35" t="s">
        <v>530</v>
      </c>
      <c r="L55" s="22" t="s">
        <v>745</v>
      </c>
      <c r="M55" s="22" t="s">
        <v>393</v>
      </c>
      <c r="N55" s="35" t="s">
        <v>394</v>
      </c>
      <c r="O55" s="22" t="s">
        <v>746</v>
      </c>
      <c r="P55" s="22" t="s">
        <v>747</v>
      </c>
      <c r="Q55" s="22" t="s">
        <v>748</v>
      </c>
      <c r="R55" s="22" t="s">
        <v>749</v>
      </c>
      <c r="S55" s="26" t="n">
        <f aca="false">Mulai!G6</f>
        <v>55</v>
      </c>
      <c r="T55" s="22" t="s">
        <v>750</v>
      </c>
    </row>
    <row r="56" customFormat="false" ht="150" hidden="false" customHeight="true" outlineLevel="0" collapsed="false">
      <c r="A56" s="26" t="n">
        <v>51</v>
      </c>
      <c r="B56" s="26" t="n">
        <v>2</v>
      </c>
      <c r="C56" s="22" t="s">
        <v>289</v>
      </c>
      <c r="D56" s="22" t="s">
        <v>119</v>
      </c>
      <c r="E56" s="22" t="s">
        <v>751</v>
      </c>
      <c r="F56" s="22" t="s">
        <v>291</v>
      </c>
      <c r="G56" s="22" t="str">
        <f aca="false">'Kamus Materi'!C59</f>
        <v>Active recall berarti mencoba mengingat tanpa melihat catatan. Spaced review adalah mengulang materi pada jeda berbeda; ulangi kesalahan lebih sering.</v>
      </c>
      <c r="H56" s="22" t="str">
        <f aca="false">'Kamus Materi'!D59</f>
        <v>Tutup catatan, sebutkan lima kata kemarin, kemudian periksa jawabannya.</v>
      </c>
      <c r="I56" s="22" t="s">
        <v>752</v>
      </c>
      <c r="J56" s="22" t="s">
        <v>723</v>
      </c>
      <c r="K56" s="35" t="s">
        <v>724</v>
      </c>
      <c r="L56" s="22" t="s">
        <v>753</v>
      </c>
      <c r="M56" s="22" t="s">
        <v>736</v>
      </c>
      <c r="N56" s="35" t="s">
        <v>737</v>
      </c>
      <c r="O56" s="22" t="s">
        <v>754</v>
      </c>
      <c r="P56" s="22" t="s">
        <v>755</v>
      </c>
      <c r="Q56" s="22" t="s">
        <v>756</v>
      </c>
      <c r="R56" s="22" t="s">
        <v>757</v>
      </c>
      <c r="S56" s="26" t="n">
        <f aca="false">Mulai!G6</f>
        <v>55</v>
      </c>
      <c r="T56" s="22" t="s">
        <v>758</v>
      </c>
    </row>
    <row r="57" customFormat="false" ht="150" hidden="false" customHeight="true" outlineLevel="0" collapsed="false">
      <c r="A57" s="26" t="n">
        <v>52</v>
      </c>
      <c r="B57" s="26" t="n">
        <v>2</v>
      </c>
      <c r="C57" s="22" t="s">
        <v>224</v>
      </c>
      <c r="D57" s="22" t="s">
        <v>120</v>
      </c>
      <c r="E57" s="22" t="s">
        <v>759</v>
      </c>
      <c r="F57" s="22" t="s">
        <v>721</v>
      </c>
      <c r="G57" s="22" t="str">
        <f aca="false">'Kamus Materi'!C37</f>
        <v>Want berarti ingin; need berarti perlu. Want/need + to + verb menyatakan tindakan yang diinginkan/diperlukan. Would like terdengar lebih sopan untuk meminta.</v>
      </c>
      <c r="H57" s="22" t="str">
        <f aca="false">'Kamus Materi'!D37</f>
        <v>I'd like some tea. I need to study. = Saya ingin teh. Saya perlu belajar.</v>
      </c>
      <c r="I57" s="22" t="s">
        <v>760</v>
      </c>
      <c r="J57" s="22" t="s">
        <v>713</v>
      </c>
      <c r="K57" s="35" t="s">
        <v>714</v>
      </c>
      <c r="L57" s="22" t="s">
        <v>761</v>
      </c>
      <c r="M57" s="22" t="s">
        <v>713</v>
      </c>
      <c r="N57" s="35" t="s">
        <v>714</v>
      </c>
      <c r="O57" s="22" t="s">
        <v>762</v>
      </c>
      <c r="P57" s="22" t="s">
        <v>763</v>
      </c>
      <c r="Q57" s="22" t="s">
        <v>764</v>
      </c>
      <c r="R57" s="22" t="s">
        <v>765</v>
      </c>
      <c r="S57" s="26" t="n">
        <f aca="false">Mulai!G6</f>
        <v>55</v>
      </c>
      <c r="T57" s="22" t="s">
        <v>766</v>
      </c>
    </row>
    <row r="58" customFormat="false" ht="150" hidden="false" customHeight="true" outlineLevel="0" collapsed="false">
      <c r="A58" s="26" t="n">
        <v>53</v>
      </c>
      <c r="B58" s="26" t="n">
        <v>2</v>
      </c>
      <c r="C58" s="22" t="s">
        <v>224</v>
      </c>
      <c r="D58" s="22" t="s">
        <v>121</v>
      </c>
      <c r="E58" s="22" t="s">
        <v>767</v>
      </c>
      <c r="F58" s="22" t="s">
        <v>768</v>
      </c>
      <c r="G58" s="22" t="str">
        <f aca="false">'Kamus Materi'!C42</f>
        <v>First, then, next, finally mengurutkan cerita. And menambah informasi; but memberi kontras; because memberi alasan; so menyatakan akibat.</v>
      </c>
      <c r="H58" s="22" t="str">
        <f aca="false">'Kamus Materi'!D42</f>
        <v>I was tired, so I rested. = Saya lelah, jadi saya beristirahat.</v>
      </c>
      <c r="I58" s="22" t="s">
        <v>769</v>
      </c>
      <c r="J58" s="22" t="s">
        <v>770</v>
      </c>
      <c r="K58" s="35" t="s">
        <v>771</v>
      </c>
      <c r="L58" s="22" t="s">
        <v>772</v>
      </c>
      <c r="M58" s="22" t="s">
        <v>773</v>
      </c>
      <c r="N58" s="35" t="s">
        <v>774</v>
      </c>
      <c r="O58" s="22" t="s">
        <v>775</v>
      </c>
      <c r="P58" s="22" t="s">
        <v>776</v>
      </c>
      <c r="Q58" s="22" t="s">
        <v>777</v>
      </c>
      <c r="R58" s="22" t="s">
        <v>778</v>
      </c>
      <c r="S58" s="26" t="n">
        <f aca="false">Mulai!G6</f>
        <v>55</v>
      </c>
      <c r="T58" s="22" t="s">
        <v>779</v>
      </c>
    </row>
    <row r="59" customFormat="false" ht="150" hidden="false" customHeight="true" outlineLevel="0" collapsed="false">
      <c r="A59" s="26" t="n">
        <v>54</v>
      </c>
      <c r="B59" s="26" t="n">
        <v>2</v>
      </c>
      <c r="C59" s="22" t="s">
        <v>224</v>
      </c>
      <c r="D59" s="22" t="s">
        <v>122</v>
      </c>
      <c r="E59" s="22" t="s">
        <v>780</v>
      </c>
      <c r="F59" s="22" t="s">
        <v>781</v>
      </c>
      <c r="G59" s="22" t="str">
        <f aca="false">'Kamus Materi'!C56</f>
        <v>Gist adalah gagasan umum; scanning mencari informasi tertentu; detail adalah fakta spesifik. Baca untuk tujuan tertentu sebelum menerjemahkan kata satu per satu.</v>
      </c>
      <c r="H59" s="22" t="str">
        <f aca="false">'Kamus Materi'!D56</f>
        <v>Gist: teks tentang pekerjaan. Detail: wawancara hari Senin pukul 10.</v>
      </c>
      <c r="I59" s="22" t="s">
        <v>782</v>
      </c>
      <c r="J59" s="22" t="s">
        <v>783</v>
      </c>
      <c r="K59" s="35" t="s">
        <v>784</v>
      </c>
      <c r="L59" s="22" t="s">
        <v>785</v>
      </c>
      <c r="M59" s="22" t="s">
        <v>483</v>
      </c>
      <c r="N59" s="35" t="s">
        <v>484</v>
      </c>
      <c r="O59" s="22" t="s">
        <v>786</v>
      </c>
      <c r="P59" s="22" t="s">
        <v>787</v>
      </c>
      <c r="Q59" s="22" t="s">
        <v>788</v>
      </c>
      <c r="R59" s="22" t="s">
        <v>789</v>
      </c>
      <c r="S59" s="26" t="n">
        <f aca="false">Mulai!G6</f>
        <v>55</v>
      </c>
      <c r="T59" s="22" t="s">
        <v>790</v>
      </c>
    </row>
    <row r="60" customFormat="false" ht="150" hidden="false" customHeight="true" outlineLevel="0" collapsed="false">
      <c r="A60" s="26" t="n">
        <v>55</v>
      </c>
      <c r="B60" s="26" t="n">
        <v>2</v>
      </c>
      <c r="C60" s="22" t="s">
        <v>224</v>
      </c>
      <c r="D60" s="22" t="s">
        <v>123</v>
      </c>
      <c r="E60" s="22" t="s">
        <v>791</v>
      </c>
      <c r="F60" s="22" t="s">
        <v>527</v>
      </c>
      <c r="G60" s="22" t="str">
        <f aca="false">'Kamus Materi'!C60</f>
        <v>Pesan efektif menyebut tujuan, detail penting, dan tindakan yang diharapkan. Email lebih formal dapat memakai sapaan dan penutup yang sopan.</v>
      </c>
      <c r="H60" s="22" t="str">
        <f aca="false">'Kamus Materi'!D60</f>
        <v>Hi Ana, could you check the page? Thank you. = Hai Ana, bisa cek halamannya? Terima kasih.</v>
      </c>
      <c r="I60" s="22" t="s">
        <v>792</v>
      </c>
      <c r="J60" s="22" t="s">
        <v>592</v>
      </c>
      <c r="K60" s="35" t="s">
        <v>593</v>
      </c>
      <c r="L60" s="22" t="s">
        <v>793</v>
      </c>
      <c r="M60" s="22" t="s">
        <v>794</v>
      </c>
      <c r="N60" s="35" t="s">
        <v>795</v>
      </c>
      <c r="O60" s="22" t="s">
        <v>796</v>
      </c>
      <c r="P60" s="22" t="s">
        <v>797</v>
      </c>
      <c r="Q60" s="22" t="s">
        <v>798</v>
      </c>
      <c r="R60" s="22" t="s">
        <v>799</v>
      </c>
      <c r="S60" s="26" t="n">
        <f aca="false">Mulai!G6</f>
        <v>55</v>
      </c>
      <c r="T60" s="22" t="s">
        <v>800</v>
      </c>
    </row>
    <row r="61" customFormat="false" ht="150" hidden="false" customHeight="true" outlineLevel="0" collapsed="false">
      <c r="A61" s="26" t="n">
        <v>56</v>
      </c>
      <c r="B61" s="26" t="n">
        <v>2</v>
      </c>
      <c r="C61" s="22" t="s">
        <v>224</v>
      </c>
      <c r="D61" s="22" t="s">
        <v>124</v>
      </c>
      <c r="E61" s="22" t="s">
        <v>801</v>
      </c>
      <c r="F61" s="22" t="s">
        <v>781</v>
      </c>
      <c r="G61" s="22" t="str">
        <f aca="false">'Kamus Materi'!C56</f>
        <v>Gist adalah gagasan umum; scanning mencari informasi tertentu; detail adalah fakta spesifik. Baca untuk tujuan tertentu sebelum menerjemahkan kata satu per satu.</v>
      </c>
      <c r="H61" s="22" t="str">
        <f aca="false">'Kamus Materi'!D56</f>
        <v>Gist: teks tentang pekerjaan. Detail: wawancara hari Senin pukul 10.</v>
      </c>
      <c r="I61" s="22" t="s">
        <v>802</v>
      </c>
      <c r="J61" s="22" t="s">
        <v>770</v>
      </c>
      <c r="K61" s="35" t="s">
        <v>771</v>
      </c>
      <c r="L61" s="22" t="s">
        <v>803</v>
      </c>
      <c r="M61" s="22" t="s">
        <v>381</v>
      </c>
      <c r="N61" s="35" t="s">
        <v>382</v>
      </c>
      <c r="O61" s="22" t="s">
        <v>804</v>
      </c>
      <c r="P61" s="22" t="s">
        <v>805</v>
      </c>
      <c r="Q61" s="22" t="s">
        <v>806</v>
      </c>
      <c r="R61" s="22" t="s">
        <v>807</v>
      </c>
      <c r="S61" s="26" t="n">
        <f aca="false">Mulai!G6</f>
        <v>55</v>
      </c>
      <c r="T61" s="22" t="s">
        <v>808</v>
      </c>
    </row>
    <row r="62" customFormat="false" ht="150" hidden="false" customHeight="true" outlineLevel="0" collapsed="false">
      <c r="A62" s="26" t="n">
        <v>57</v>
      </c>
      <c r="B62" s="26" t="n">
        <v>2</v>
      </c>
      <c r="C62" s="22" t="s">
        <v>224</v>
      </c>
      <c r="D62" s="22" t="s">
        <v>125</v>
      </c>
      <c r="E62" s="22" t="s">
        <v>809</v>
      </c>
      <c r="F62" s="22" t="s">
        <v>810</v>
      </c>
      <c r="G62" s="22" t="str">
        <f aca="false">'Kamus Materi'!C58</f>
        <v>Shadowing ialah menirukan ujaran segera setelah pembicara. Intelligibility berarti ucapan dapat dipahami; tidak perlu meniru aksen secara sempurna.</v>
      </c>
      <c r="H62" s="22" t="str">
        <f aca="false">'Kamus Materi'!D58</f>
        <v>Putar satu kalimat → jeda → tirukan → rekam → bandingkan.</v>
      </c>
      <c r="I62" s="22" t="s">
        <v>811</v>
      </c>
      <c r="J62" s="22" t="s">
        <v>529</v>
      </c>
      <c r="K62" s="35" t="s">
        <v>530</v>
      </c>
      <c r="L62" s="22" t="s">
        <v>812</v>
      </c>
      <c r="M62" s="22" t="s">
        <v>432</v>
      </c>
      <c r="N62" s="35" t="s">
        <v>433</v>
      </c>
      <c r="O62" s="22" t="s">
        <v>813</v>
      </c>
      <c r="P62" s="22" t="s">
        <v>814</v>
      </c>
      <c r="Q62" s="22" t="s">
        <v>815</v>
      </c>
      <c r="R62" s="22" t="s">
        <v>816</v>
      </c>
      <c r="S62" s="26" t="n">
        <f aca="false">Mulai!G6</f>
        <v>55</v>
      </c>
      <c r="T62" s="22" t="s">
        <v>817</v>
      </c>
    </row>
    <row r="63" customFormat="false" ht="150" hidden="false" customHeight="true" outlineLevel="0" collapsed="false">
      <c r="A63" s="26" t="n">
        <v>58</v>
      </c>
      <c r="B63" s="26" t="n">
        <v>2</v>
      </c>
      <c r="C63" s="22" t="s">
        <v>289</v>
      </c>
      <c r="D63" s="22" t="s">
        <v>126</v>
      </c>
      <c r="E63" s="22" t="s">
        <v>818</v>
      </c>
      <c r="F63" s="22" t="s">
        <v>291</v>
      </c>
      <c r="G63" s="22" t="str">
        <f aca="false">'Kamus Materi'!C59</f>
        <v>Active recall berarti mencoba mengingat tanpa melihat catatan. Spaced review adalah mengulang materi pada jeda berbeda; ulangi kesalahan lebih sering.</v>
      </c>
      <c r="H63" s="22" t="str">
        <f aca="false">'Kamus Materi'!D59</f>
        <v>Tutup catatan, sebutkan lima kata kemarin, kemudian periksa jawabannya.</v>
      </c>
      <c r="I63" s="22" t="s">
        <v>819</v>
      </c>
      <c r="J63" s="22" t="s">
        <v>461</v>
      </c>
      <c r="K63" s="35" t="s">
        <v>462</v>
      </c>
      <c r="L63" s="22" t="s">
        <v>820</v>
      </c>
      <c r="M63" s="22" t="s">
        <v>464</v>
      </c>
      <c r="N63" s="35" t="s">
        <v>465</v>
      </c>
      <c r="O63" s="22" t="s">
        <v>821</v>
      </c>
      <c r="P63" s="22" t="s">
        <v>822</v>
      </c>
      <c r="Q63" s="22" t="s">
        <v>823</v>
      </c>
      <c r="R63" s="22" t="s">
        <v>824</v>
      </c>
      <c r="S63" s="26" t="n">
        <f aca="false">Mulai!G6</f>
        <v>55</v>
      </c>
      <c r="T63" s="22" t="s">
        <v>825</v>
      </c>
    </row>
    <row r="64" customFormat="false" ht="150" hidden="false" customHeight="true" outlineLevel="0" collapsed="false">
      <c r="A64" s="26" t="n">
        <v>59</v>
      </c>
      <c r="B64" s="26" t="n">
        <v>2</v>
      </c>
      <c r="C64" s="22" t="s">
        <v>224</v>
      </c>
      <c r="D64" s="22" t="s">
        <v>127</v>
      </c>
      <c r="E64" s="22" t="s">
        <v>826</v>
      </c>
      <c r="F64" s="22" t="s">
        <v>781</v>
      </c>
      <c r="G64" s="22" t="str">
        <f aca="false">'Kamus Materi'!C56</f>
        <v>Gist adalah gagasan umum; scanning mencari informasi tertentu; detail adalah fakta spesifik. Baca untuk tujuan tertentu sebelum menerjemahkan kata satu per satu.</v>
      </c>
      <c r="H64" s="22" t="str">
        <f aca="false">'Kamus Materi'!D56</f>
        <v>Gist: teks tentang pekerjaan. Detail: wawancara hari Senin pukul 10.</v>
      </c>
      <c r="I64" s="22" t="s">
        <v>827</v>
      </c>
      <c r="J64" s="22" t="s">
        <v>783</v>
      </c>
      <c r="K64" s="35" t="s">
        <v>784</v>
      </c>
      <c r="L64" s="22" t="s">
        <v>828</v>
      </c>
      <c r="M64" s="22" t="s">
        <v>563</v>
      </c>
      <c r="N64" s="35" t="s">
        <v>564</v>
      </c>
      <c r="O64" s="22" t="s">
        <v>829</v>
      </c>
      <c r="P64" s="22" t="s">
        <v>830</v>
      </c>
      <c r="Q64" s="22" t="s">
        <v>831</v>
      </c>
      <c r="R64" s="22" t="s">
        <v>832</v>
      </c>
      <c r="S64" s="26" t="n">
        <f aca="false">Mulai!G6</f>
        <v>55</v>
      </c>
      <c r="T64" s="22" t="s">
        <v>833</v>
      </c>
    </row>
    <row r="65" customFormat="false" ht="150" hidden="false" customHeight="true" outlineLevel="0" collapsed="false">
      <c r="A65" s="26" t="n">
        <v>60</v>
      </c>
      <c r="B65" s="26" t="n">
        <v>2</v>
      </c>
      <c r="C65" s="22" t="s">
        <v>289</v>
      </c>
      <c r="D65" s="22" t="s">
        <v>128</v>
      </c>
      <c r="E65" s="22" t="s">
        <v>834</v>
      </c>
      <c r="F65" s="22" t="s">
        <v>540</v>
      </c>
      <c r="G65" s="22" t="str">
        <f aca="false">'Kamus Materi'!C63</f>
        <v>Rubrik adalah kriteria penilaian yang sama dari waktu ke waktu. Nilai latihan ini hanya alat belajar, bukan skor TOEFL atau sertifikasi CEFR.</v>
      </c>
      <c r="H65" s="22" t="str">
        <f aca="false">'Kamus Materi'!D63</f>
        <v>Bandingkan rekaman awal dan akhir: apakah pesan lebih lengkap dan mudah dipahami?</v>
      </c>
      <c r="I65" s="22" t="s">
        <v>835</v>
      </c>
      <c r="J65" s="22" t="s">
        <v>770</v>
      </c>
      <c r="K65" s="35" t="s">
        <v>771</v>
      </c>
      <c r="L65" s="22" t="s">
        <v>836</v>
      </c>
      <c r="M65" s="22" t="s">
        <v>736</v>
      </c>
      <c r="N65" s="35" t="s">
        <v>737</v>
      </c>
      <c r="O65" s="22" t="s">
        <v>837</v>
      </c>
      <c r="P65" s="22" t="s">
        <v>838</v>
      </c>
      <c r="Q65" s="22" t="s">
        <v>839</v>
      </c>
      <c r="R65" s="22" t="s">
        <v>840</v>
      </c>
      <c r="S65" s="26" t="n">
        <f aca="false">Mulai!G6</f>
        <v>55</v>
      </c>
      <c r="T65" s="22" t="s">
        <v>841</v>
      </c>
    </row>
    <row r="66" customFormat="false" ht="150" hidden="false" customHeight="true" outlineLevel="0" collapsed="false">
      <c r="A66" s="26" t="n">
        <v>61</v>
      </c>
      <c r="B66" s="26" t="n">
        <v>3</v>
      </c>
      <c r="C66" s="22" t="s">
        <v>224</v>
      </c>
      <c r="D66" s="22" t="s">
        <v>129</v>
      </c>
      <c r="E66" s="22" t="s">
        <v>842</v>
      </c>
      <c r="F66" s="22" t="s">
        <v>843</v>
      </c>
      <c r="G66" s="22" t="str">
        <f aca="false">'Kamus Materi'!C38</f>
        <v>Was/were adalah bentuk lampau be: I/he/she/it was; you/we/they were. Negatif memakai not; pertanyaan menempatkan was/were sebelum subjek.</v>
      </c>
      <c r="H66" s="22" t="str">
        <f aca="false">'Kamus Materi'!D38</f>
        <v>I was busy yesterday. Were you at home? = Kemarin saya sibuk. Kamu di rumah?</v>
      </c>
      <c r="I66" s="22" t="s">
        <v>844</v>
      </c>
      <c r="J66" s="22" t="s">
        <v>845</v>
      </c>
      <c r="K66" s="35" t="s">
        <v>846</v>
      </c>
      <c r="L66" s="22" t="s">
        <v>847</v>
      </c>
      <c r="M66" s="22" t="s">
        <v>848</v>
      </c>
      <c r="N66" s="35" t="s">
        <v>849</v>
      </c>
      <c r="O66" s="22" t="s">
        <v>850</v>
      </c>
      <c r="P66" s="22" t="s">
        <v>851</v>
      </c>
      <c r="Q66" s="22" t="s">
        <v>852</v>
      </c>
      <c r="R66" s="22" t="s">
        <v>853</v>
      </c>
      <c r="S66" s="26" t="n">
        <f aca="false">Mulai!G6</f>
        <v>55</v>
      </c>
      <c r="T66" s="22" t="s">
        <v>854</v>
      </c>
    </row>
    <row r="67" customFormat="false" ht="150" hidden="false" customHeight="true" outlineLevel="0" collapsed="false">
      <c r="A67" s="26" t="n">
        <v>62</v>
      </c>
      <c r="B67" s="26" t="n">
        <v>3</v>
      </c>
      <c r="C67" s="22" t="s">
        <v>224</v>
      </c>
      <c r="D67" s="22" t="s">
        <v>130</v>
      </c>
      <c r="E67" s="22" t="s">
        <v>855</v>
      </c>
      <c r="F67" s="22" t="s">
        <v>843</v>
      </c>
      <c r="G67" s="22" t="str">
        <f aca="false">'Kamus Materi'!C38</f>
        <v>Was/were adalah bentuk lampau be: I/he/she/it was; you/we/they were. Negatif memakai not; pertanyaan menempatkan was/were sebelum subjek.</v>
      </c>
      <c r="H67" s="22" t="str">
        <f aca="false">'Kamus Materi'!D38</f>
        <v>I was busy yesterday. Were you at home? = Kemarin saya sibuk. Kamu di rumah?</v>
      </c>
      <c r="I67" s="22" t="s">
        <v>856</v>
      </c>
      <c r="J67" s="22" t="s">
        <v>845</v>
      </c>
      <c r="K67" s="35" t="s">
        <v>846</v>
      </c>
      <c r="L67" s="22" t="s">
        <v>857</v>
      </c>
      <c r="M67" s="22" t="s">
        <v>848</v>
      </c>
      <c r="N67" s="35" t="s">
        <v>849</v>
      </c>
      <c r="O67" s="22" t="s">
        <v>858</v>
      </c>
      <c r="P67" s="22" t="s">
        <v>859</v>
      </c>
      <c r="Q67" s="22" t="s">
        <v>860</v>
      </c>
      <c r="R67" s="22" t="s">
        <v>861</v>
      </c>
      <c r="S67" s="26" t="n">
        <f aca="false">Mulai!G6</f>
        <v>55</v>
      </c>
      <c r="T67" s="22" t="s">
        <v>862</v>
      </c>
    </row>
    <row r="68" customFormat="false" ht="150" hidden="false" customHeight="true" outlineLevel="0" collapsed="false">
      <c r="A68" s="26" t="n">
        <v>63</v>
      </c>
      <c r="B68" s="26" t="n">
        <v>3</v>
      </c>
      <c r="C68" s="22" t="s">
        <v>224</v>
      </c>
      <c r="D68" s="22" t="s">
        <v>131</v>
      </c>
      <c r="E68" s="22" t="s">
        <v>863</v>
      </c>
      <c r="F68" s="22" t="s">
        <v>864</v>
      </c>
      <c r="G68" s="22" t="str">
        <f aca="false">'Kamus Materi'!C39</f>
        <v>Simple past menceritakan kejadian yang selesai di masa lalu. Banyak kata kerja beraturan menambah -ed/-d; bentuknya sama untuk semua subjek.</v>
      </c>
      <c r="H68" s="22" t="str">
        <f aca="false">'Kamus Materi'!D39</f>
        <v>I cleaned my room yesterday. = Kemarin saya membersihkan kamar.</v>
      </c>
      <c r="I68" s="22" t="s">
        <v>865</v>
      </c>
      <c r="J68" s="22" t="s">
        <v>845</v>
      </c>
      <c r="K68" s="35" t="s">
        <v>846</v>
      </c>
      <c r="L68" s="22" t="s">
        <v>866</v>
      </c>
      <c r="M68" s="22" t="s">
        <v>867</v>
      </c>
      <c r="N68" s="35" t="s">
        <v>868</v>
      </c>
      <c r="O68" s="22" t="s">
        <v>869</v>
      </c>
      <c r="P68" s="22" t="s">
        <v>870</v>
      </c>
      <c r="Q68" s="22" t="s">
        <v>871</v>
      </c>
      <c r="R68" s="22" t="s">
        <v>872</v>
      </c>
      <c r="S68" s="26" t="n">
        <f aca="false">Mulai!G6</f>
        <v>55</v>
      </c>
      <c r="T68" s="22" t="s">
        <v>873</v>
      </c>
    </row>
    <row r="69" customFormat="false" ht="150" hidden="false" customHeight="true" outlineLevel="0" collapsed="false">
      <c r="A69" s="26" t="n">
        <v>64</v>
      </c>
      <c r="B69" s="26" t="n">
        <v>3</v>
      </c>
      <c r="C69" s="22" t="s">
        <v>224</v>
      </c>
      <c r="D69" s="22" t="s">
        <v>132</v>
      </c>
      <c r="E69" s="22" t="s">
        <v>874</v>
      </c>
      <c r="F69" s="22" t="s">
        <v>810</v>
      </c>
      <c r="G69" s="22" t="str">
        <f aca="false">'Kamus Materi'!C58</f>
        <v>Shadowing ialah menirukan ujaran segera setelah pembicara. Intelligibility berarti ucapan dapat dipahami; tidak perlu meniru aksen secara sempurna.</v>
      </c>
      <c r="H69" s="22" t="str">
        <f aca="false">'Kamus Materi'!D58</f>
        <v>Putar satu kalimat → jeda → tirukan → rekam → bandingkan.</v>
      </c>
      <c r="I69" s="22" t="s">
        <v>875</v>
      </c>
      <c r="J69" s="22" t="s">
        <v>845</v>
      </c>
      <c r="K69" s="35" t="s">
        <v>846</v>
      </c>
      <c r="L69" s="22" t="s">
        <v>876</v>
      </c>
      <c r="M69" s="22" t="s">
        <v>867</v>
      </c>
      <c r="N69" s="35" t="s">
        <v>868</v>
      </c>
      <c r="O69" s="22" t="s">
        <v>877</v>
      </c>
      <c r="P69" s="22" t="s">
        <v>878</v>
      </c>
      <c r="Q69" s="22" t="s">
        <v>879</v>
      </c>
      <c r="R69" s="22" t="s">
        <v>880</v>
      </c>
      <c r="S69" s="26" t="n">
        <f aca="false">Mulai!G6</f>
        <v>55</v>
      </c>
      <c r="T69" s="22" t="s">
        <v>881</v>
      </c>
    </row>
    <row r="70" customFormat="false" ht="150" hidden="false" customHeight="true" outlineLevel="0" collapsed="false">
      <c r="A70" s="26" t="n">
        <v>65</v>
      </c>
      <c r="B70" s="26" t="n">
        <v>3</v>
      </c>
      <c r="C70" s="22" t="s">
        <v>224</v>
      </c>
      <c r="D70" s="22" t="s">
        <v>133</v>
      </c>
      <c r="E70" s="22" t="s">
        <v>882</v>
      </c>
      <c r="F70" s="22" t="s">
        <v>883</v>
      </c>
      <c r="G70" s="22" t="str">
        <f aca="false">'Kamus Materi'!C40</f>
        <v>Kata kerja tidak beraturan memiliki bentuk lampau khusus, misalnya go→went, eat→ate, make→made. Pelajari dalam kalimat, bukan hanya daftar.</v>
      </c>
      <c r="H70" s="22" t="str">
        <f aca="false">'Kamus Materi'!D40</f>
        <v>I made a website last week. = Minggu lalu saya membuat situs web.</v>
      </c>
      <c r="I70" s="22" t="s">
        <v>884</v>
      </c>
      <c r="J70" s="22" t="s">
        <v>845</v>
      </c>
      <c r="K70" s="35" t="s">
        <v>846</v>
      </c>
      <c r="L70" s="22" t="s">
        <v>885</v>
      </c>
      <c r="M70" s="22" t="s">
        <v>886</v>
      </c>
      <c r="N70" s="35" t="s">
        <v>887</v>
      </c>
      <c r="O70" s="22" t="s">
        <v>888</v>
      </c>
      <c r="P70" s="22" t="s">
        <v>889</v>
      </c>
      <c r="Q70" s="22" t="s">
        <v>890</v>
      </c>
      <c r="R70" s="22" t="s">
        <v>891</v>
      </c>
      <c r="S70" s="26" t="n">
        <f aca="false">Mulai!G6</f>
        <v>55</v>
      </c>
      <c r="T70" s="22" t="s">
        <v>892</v>
      </c>
    </row>
    <row r="71" customFormat="false" ht="150" hidden="false" customHeight="true" outlineLevel="0" collapsed="false">
      <c r="A71" s="26" t="n">
        <v>66</v>
      </c>
      <c r="B71" s="26" t="n">
        <v>3</v>
      </c>
      <c r="C71" s="22" t="s">
        <v>224</v>
      </c>
      <c r="D71" s="22" t="s">
        <v>134</v>
      </c>
      <c r="E71" s="22" t="s">
        <v>893</v>
      </c>
      <c r="F71" s="22" t="s">
        <v>894</v>
      </c>
      <c r="G71" s="22" t="str">
        <f aca="false">'Kamus Materi'!C41</f>
        <v>Did membantu pertanyaan atau negatif simple past. Setelah did/didn't, gunakan bentuk dasar. Be lampau menggunakan was/were, bukan did be.</v>
      </c>
      <c r="H71" s="22" t="str">
        <f aca="false">'Kamus Materi'!D41</f>
        <v>Did you finish? I didn't finish. = Sudah selesai? Saya belum/tidak selesai.</v>
      </c>
      <c r="I71" s="22" t="s">
        <v>895</v>
      </c>
      <c r="J71" s="22" t="s">
        <v>845</v>
      </c>
      <c r="K71" s="35" t="s">
        <v>846</v>
      </c>
      <c r="L71" s="22" t="s">
        <v>896</v>
      </c>
      <c r="M71" s="22" t="s">
        <v>867</v>
      </c>
      <c r="N71" s="35" t="s">
        <v>868</v>
      </c>
      <c r="O71" s="22" t="s">
        <v>897</v>
      </c>
      <c r="P71" s="22" t="s">
        <v>898</v>
      </c>
      <c r="Q71" s="22" t="s">
        <v>899</v>
      </c>
      <c r="R71" s="22" t="s">
        <v>900</v>
      </c>
      <c r="S71" s="26" t="n">
        <f aca="false">Mulai!G6</f>
        <v>55</v>
      </c>
      <c r="T71" s="22" t="s">
        <v>901</v>
      </c>
    </row>
    <row r="72" customFormat="false" ht="150" hidden="false" customHeight="true" outlineLevel="0" collapsed="false">
      <c r="A72" s="26" t="n">
        <v>67</v>
      </c>
      <c r="B72" s="26" t="n">
        <v>3</v>
      </c>
      <c r="C72" s="22" t="s">
        <v>289</v>
      </c>
      <c r="D72" s="22" t="s">
        <v>135</v>
      </c>
      <c r="E72" s="22" t="s">
        <v>902</v>
      </c>
      <c r="F72" s="22" t="s">
        <v>291</v>
      </c>
      <c r="G72" s="22" t="str">
        <f aca="false">'Kamus Materi'!C59</f>
        <v>Active recall berarti mencoba mengingat tanpa melihat catatan. Spaced review adalah mengulang materi pada jeda berbeda; ulangi kesalahan lebih sering.</v>
      </c>
      <c r="H72" s="22" t="str">
        <f aca="false">'Kamus Materi'!D59</f>
        <v>Tutup catatan, sebutkan lima kata kemarin, kemudian periksa jawabannya.</v>
      </c>
      <c r="I72" s="22" t="s">
        <v>903</v>
      </c>
      <c r="J72" s="22" t="s">
        <v>845</v>
      </c>
      <c r="K72" s="35" t="s">
        <v>846</v>
      </c>
      <c r="L72" s="22" t="s">
        <v>904</v>
      </c>
      <c r="M72" s="22" t="s">
        <v>848</v>
      </c>
      <c r="N72" s="35" t="s">
        <v>849</v>
      </c>
      <c r="O72" s="22" t="s">
        <v>905</v>
      </c>
      <c r="P72" s="22" t="s">
        <v>906</v>
      </c>
      <c r="Q72" s="22" t="s">
        <v>907</v>
      </c>
      <c r="R72" s="22" t="s">
        <v>908</v>
      </c>
      <c r="S72" s="26" t="n">
        <f aca="false">Mulai!G6</f>
        <v>55</v>
      </c>
      <c r="T72" s="22" t="s">
        <v>909</v>
      </c>
    </row>
    <row r="73" customFormat="false" ht="150" hidden="false" customHeight="true" outlineLevel="0" collapsed="false">
      <c r="A73" s="26" t="n">
        <v>68</v>
      </c>
      <c r="B73" s="26" t="n">
        <v>3</v>
      </c>
      <c r="C73" s="22" t="s">
        <v>224</v>
      </c>
      <c r="D73" s="22" t="s">
        <v>136</v>
      </c>
      <c r="E73" s="22" t="s">
        <v>910</v>
      </c>
      <c r="F73" s="22" t="s">
        <v>864</v>
      </c>
      <c r="G73" s="22" t="str">
        <f aca="false">'Kamus Materi'!C39</f>
        <v>Simple past menceritakan kejadian yang selesai di masa lalu. Banyak kata kerja beraturan menambah -ed/-d; bentuknya sama untuk semua subjek.</v>
      </c>
      <c r="H73" s="22" t="str">
        <f aca="false">'Kamus Materi'!D39</f>
        <v>I cleaned my room yesterday. = Kemarin saya membersihkan kamar.</v>
      </c>
      <c r="I73" s="22" t="s">
        <v>911</v>
      </c>
      <c r="J73" s="22" t="s">
        <v>886</v>
      </c>
      <c r="K73" s="35" t="s">
        <v>887</v>
      </c>
      <c r="L73" s="22" t="s">
        <v>912</v>
      </c>
      <c r="M73" s="22" t="s">
        <v>886</v>
      </c>
      <c r="N73" s="35" t="s">
        <v>887</v>
      </c>
      <c r="O73" s="22" t="s">
        <v>913</v>
      </c>
      <c r="P73" s="22" t="s">
        <v>914</v>
      </c>
      <c r="Q73" s="22" t="s">
        <v>915</v>
      </c>
      <c r="R73" s="22" t="s">
        <v>916</v>
      </c>
      <c r="S73" s="26" t="n">
        <f aca="false">Mulai!G6</f>
        <v>55</v>
      </c>
      <c r="T73" s="22" t="s">
        <v>917</v>
      </c>
    </row>
    <row r="74" customFormat="false" ht="150" hidden="false" customHeight="true" outlineLevel="0" collapsed="false">
      <c r="A74" s="26" t="n">
        <v>69</v>
      </c>
      <c r="B74" s="26" t="n">
        <v>3</v>
      </c>
      <c r="C74" s="22" t="s">
        <v>224</v>
      </c>
      <c r="D74" s="22" t="s">
        <v>137</v>
      </c>
      <c r="E74" s="22" t="s">
        <v>918</v>
      </c>
      <c r="F74" s="22" t="s">
        <v>768</v>
      </c>
      <c r="G74" s="22" t="str">
        <f aca="false">'Kamus Materi'!C42</f>
        <v>First, then, next, finally mengurutkan cerita. And menambah informasi; but memberi kontras; because memberi alasan; so menyatakan akibat.</v>
      </c>
      <c r="H74" s="22" t="str">
        <f aca="false">'Kamus Materi'!D42</f>
        <v>I was tired, so I rested. = Saya lelah, jadi saya beristirahat.</v>
      </c>
      <c r="I74" s="22" t="s">
        <v>919</v>
      </c>
      <c r="J74" s="22" t="s">
        <v>920</v>
      </c>
      <c r="K74" s="35" t="s">
        <v>921</v>
      </c>
      <c r="L74" s="22" t="s">
        <v>922</v>
      </c>
      <c r="M74" s="22" t="s">
        <v>923</v>
      </c>
      <c r="N74" s="35" t="s">
        <v>924</v>
      </c>
      <c r="O74" s="22" t="s">
        <v>925</v>
      </c>
      <c r="P74" s="22" t="s">
        <v>926</v>
      </c>
      <c r="Q74" s="22" t="s">
        <v>927</v>
      </c>
      <c r="R74" s="22" t="s">
        <v>928</v>
      </c>
      <c r="S74" s="26" t="n">
        <f aca="false">Mulai!G6</f>
        <v>55</v>
      </c>
      <c r="T74" s="22" t="s">
        <v>929</v>
      </c>
    </row>
    <row r="75" customFormat="false" ht="150" hidden="false" customHeight="true" outlineLevel="0" collapsed="false">
      <c r="A75" s="26" t="n">
        <v>70</v>
      </c>
      <c r="B75" s="26" t="n">
        <v>3</v>
      </c>
      <c r="C75" s="22" t="s">
        <v>224</v>
      </c>
      <c r="D75" s="22" t="s">
        <v>138</v>
      </c>
      <c r="E75" s="22" t="s">
        <v>930</v>
      </c>
      <c r="F75" s="22" t="s">
        <v>527</v>
      </c>
      <c r="G75" s="22" t="str">
        <f aca="false">'Kamus Materi'!C60</f>
        <v>Pesan efektif menyebut tujuan, detail penting, dan tindakan yang diharapkan. Email lebih formal dapat memakai sapaan dan penutup yang sopan.</v>
      </c>
      <c r="H75" s="22" t="str">
        <f aca="false">'Kamus Materi'!D60</f>
        <v>Hi Ana, could you check the page? Thank you. = Hai Ana, bisa cek halamannya? Terima kasih.</v>
      </c>
      <c r="I75" s="22" t="s">
        <v>931</v>
      </c>
      <c r="J75" s="22" t="s">
        <v>920</v>
      </c>
      <c r="K75" s="35" t="s">
        <v>921</v>
      </c>
      <c r="L75" s="22" t="s">
        <v>932</v>
      </c>
      <c r="M75" s="22" t="s">
        <v>867</v>
      </c>
      <c r="N75" s="35" t="s">
        <v>868</v>
      </c>
      <c r="O75" s="22" t="s">
        <v>933</v>
      </c>
      <c r="P75" s="22" t="s">
        <v>934</v>
      </c>
      <c r="Q75" s="22" t="s">
        <v>935</v>
      </c>
      <c r="R75" s="22" t="s">
        <v>936</v>
      </c>
      <c r="S75" s="26" t="n">
        <f aca="false">Mulai!G6</f>
        <v>55</v>
      </c>
      <c r="T75" s="22" t="s">
        <v>937</v>
      </c>
    </row>
    <row r="76" customFormat="false" ht="150" hidden="false" customHeight="true" outlineLevel="0" collapsed="false">
      <c r="A76" s="26" t="n">
        <v>71</v>
      </c>
      <c r="B76" s="26" t="n">
        <v>3</v>
      </c>
      <c r="C76" s="22" t="s">
        <v>224</v>
      </c>
      <c r="D76" s="22" t="s">
        <v>139</v>
      </c>
      <c r="E76" s="22" t="s">
        <v>938</v>
      </c>
      <c r="F76" s="22" t="s">
        <v>939</v>
      </c>
      <c r="G76" s="22" t="str">
        <f aca="false">'Kamus Materi'!C43</f>
        <v>Am/is/are + going to + verb menyatakan rencana atau prediksi berdasarkan bukti. Tetap sertakan be sebelum going to.</v>
      </c>
      <c r="H76" s="22" t="str">
        <f aca="false">'Kamus Materi'!D43</f>
        <v>I am going to study tonight. = Saya berencana belajar malam ini.</v>
      </c>
      <c r="I76" s="22" t="s">
        <v>940</v>
      </c>
      <c r="J76" s="22" t="s">
        <v>941</v>
      </c>
      <c r="K76" s="35" t="s">
        <v>942</v>
      </c>
      <c r="L76" s="22" t="s">
        <v>943</v>
      </c>
      <c r="M76" s="22" t="s">
        <v>944</v>
      </c>
      <c r="N76" s="35" t="s">
        <v>945</v>
      </c>
      <c r="O76" s="22" t="s">
        <v>946</v>
      </c>
      <c r="P76" s="22" t="s">
        <v>947</v>
      </c>
      <c r="Q76" s="22" t="s">
        <v>948</v>
      </c>
      <c r="R76" s="22" t="s">
        <v>949</v>
      </c>
      <c r="S76" s="26" t="n">
        <f aca="false">Mulai!G6</f>
        <v>55</v>
      </c>
      <c r="T76" s="22" t="s">
        <v>950</v>
      </c>
    </row>
    <row r="77" customFormat="false" ht="150" hidden="false" customHeight="true" outlineLevel="0" collapsed="false">
      <c r="A77" s="26" t="n">
        <v>72</v>
      </c>
      <c r="B77" s="26" t="n">
        <v>3</v>
      </c>
      <c r="C77" s="22" t="s">
        <v>224</v>
      </c>
      <c r="D77" s="22" t="s">
        <v>140</v>
      </c>
      <c r="E77" s="22" t="s">
        <v>951</v>
      </c>
      <c r="F77" s="22" t="s">
        <v>939</v>
      </c>
      <c r="G77" s="22" t="str">
        <f aca="false">'Kamus Materi'!C43</f>
        <v>Am/is/are + going to + verb menyatakan rencana atau prediksi berdasarkan bukti. Tetap sertakan be sebelum going to.</v>
      </c>
      <c r="H77" s="22" t="str">
        <f aca="false">'Kamus Materi'!D43</f>
        <v>I am going to study tonight. = Saya berencana belajar malam ini.</v>
      </c>
      <c r="I77" s="22" t="s">
        <v>952</v>
      </c>
      <c r="J77" s="22" t="s">
        <v>941</v>
      </c>
      <c r="K77" s="35" t="s">
        <v>942</v>
      </c>
      <c r="L77" s="22" t="s">
        <v>953</v>
      </c>
      <c r="M77" s="22" t="s">
        <v>944</v>
      </c>
      <c r="N77" s="35" t="s">
        <v>945</v>
      </c>
      <c r="O77" s="22" t="s">
        <v>954</v>
      </c>
      <c r="P77" s="22" t="s">
        <v>955</v>
      </c>
      <c r="Q77" s="22" t="s">
        <v>899</v>
      </c>
      <c r="R77" s="22" t="s">
        <v>956</v>
      </c>
      <c r="S77" s="26" t="n">
        <f aca="false">Mulai!G6</f>
        <v>55</v>
      </c>
      <c r="T77" s="22" t="s">
        <v>957</v>
      </c>
    </row>
    <row r="78" customFormat="false" ht="150" hidden="false" customHeight="true" outlineLevel="0" collapsed="false">
      <c r="A78" s="26" t="n">
        <v>73</v>
      </c>
      <c r="B78" s="26" t="n">
        <v>3</v>
      </c>
      <c r="C78" s="22" t="s">
        <v>224</v>
      </c>
      <c r="D78" s="22" t="s">
        <v>141</v>
      </c>
      <c r="E78" s="22" t="s">
        <v>958</v>
      </c>
      <c r="F78" s="22" t="s">
        <v>959</v>
      </c>
      <c r="G78" s="22" t="str">
        <f aca="false">'Kamus Materi'!C44</f>
        <v>Will + kata kerja dasar dapat menyatakan keputusan spontan, janji, atau prediksi. Won't adalah will not. Makna masa depan juga bisa memakai bentuk lain.</v>
      </c>
      <c r="H78" s="22" t="str">
        <f aca="false">'Kamus Materi'!D44</f>
        <v>I will send the file. = Saya akan mengirim berkasnya.</v>
      </c>
      <c r="I78" s="22" t="s">
        <v>960</v>
      </c>
      <c r="J78" s="22" t="s">
        <v>941</v>
      </c>
      <c r="K78" s="35" t="s">
        <v>942</v>
      </c>
      <c r="L78" s="22" t="s">
        <v>961</v>
      </c>
      <c r="M78" s="22" t="s">
        <v>962</v>
      </c>
      <c r="N78" s="35" t="s">
        <v>963</v>
      </c>
      <c r="O78" s="22" t="s">
        <v>964</v>
      </c>
      <c r="P78" s="22" t="s">
        <v>965</v>
      </c>
      <c r="Q78" s="22" t="s">
        <v>966</v>
      </c>
      <c r="R78" s="22" t="s">
        <v>967</v>
      </c>
      <c r="S78" s="26" t="n">
        <f aca="false">Mulai!G6</f>
        <v>55</v>
      </c>
      <c r="T78" s="22" t="s">
        <v>968</v>
      </c>
    </row>
    <row r="79" customFormat="false" ht="150" hidden="false" customHeight="true" outlineLevel="0" collapsed="false">
      <c r="A79" s="26" t="n">
        <v>74</v>
      </c>
      <c r="B79" s="26" t="n">
        <v>3</v>
      </c>
      <c r="C79" s="22" t="s">
        <v>289</v>
      </c>
      <c r="D79" s="22" t="s">
        <v>142</v>
      </c>
      <c r="E79" s="22" t="s">
        <v>969</v>
      </c>
      <c r="F79" s="22" t="s">
        <v>291</v>
      </c>
      <c r="G79" s="22" t="str">
        <f aca="false">'Kamus Materi'!C59</f>
        <v>Active recall berarti mencoba mengingat tanpa melihat catatan. Spaced review adalah mengulang materi pada jeda berbeda; ulangi kesalahan lebih sering.</v>
      </c>
      <c r="H79" s="22" t="str">
        <f aca="false">'Kamus Materi'!D59</f>
        <v>Tutup catatan, sebutkan lima kata kemarin, kemudian periksa jawabannya.</v>
      </c>
      <c r="I79" s="22" t="s">
        <v>970</v>
      </c>
      <c r="J79" s="22" t="s">
        <v>920</v>
      </c>
      <c r="K79" s="35" t="s">
        <v>921</v>
      </c>
      <c r="L79" s="22" t="s">
        <v>971</v>
      </c>
      <c r="M79" s="22" t="s">
        <v>962</v>
      </c>
      <c r="N79" s="35" t="s">
        <v>963</v>
      </c>
      <c r="O79" s="22" t="s">
        <v>972</v>
      </c>
      <c r="P79" s="22" t="s">
        <v>973</v>
      </c>
      <c r="Q79" s="22" t="s">
        <v>974</v>
      </c>
      <c r="R79" s="22" t="s">
        <v>975</v>
      </c>
      <c r="S79" s="26" t="n">
        <f aca="false">Mulai!G6</f>
        <v>55</v>
      </c>
      <c r="T79" s="22" t="s">
        <v>976</v>
      </c>
    </row>
    <row r="80" customFormat="false" ht="150" hidden="false" customHeight="true" outlineLevel="0" collapsed="false">
      <c r="A80" s="26" t="n">
        <v>75</v>
      </c>
      <c r="B80" s="26" t="n">
        <v>3</v>
      </c>
      <c r="C80" s="22" t="s">
        <v>224</v>
      </c>
      <c r="D80" s="22" t="s">
        <v>143</v>
      </c>
      <c r="E80" s="22" t="s">
        <v>977</v>
      </c>
      <c r="F80" s="22" t="s">
        <v>939</v>
      </c>
      <c r="G80" s="22" t="str">
        <f aca="false">'Kamus Materi'!C43</f>
        <v>Am/is/are + going to + verb menyatakan rencana atau prediksi berdasarkan bukti. Tetap sertakan be sebelum going to.</v>
      </c>
      <c r="H80" s="22" t="str">
        <f aca="false">'Kamus Materi'!D43</f>
        <v>I am going to study tonight. = Saya berencana belajar malam ini.</v>
      </c>
      <c r="I80" s="22" t="s">
        <v>978</v>
      </c>
      <c r="J80" s="22" t="s">
        <v>390</v>
      </c>
      <c r="K80" s="35" t="s">
        <v>391</v>
      </c>
      <c r="L80" s="22" t="s">
        <v>979</v>
      </c>
      <c r="M80" s="22" t="s">
        <v>393</v>
      </c>
      <c r="N80" s="35" t="s">
        <v>394</v>
      </c>
      <c r="O80" s="22" t="s">
        <v>980</v>
      </c>
      <c r="P80" s="22" t="s">
        <v>981</v>
      </c>
      <c r="Q80" s="22" t="s">
        <v>982</v>
      </c>
      <c r="R80" s="22" t="s">
        <v>983</v>
      </c>
      <c r="S80" s="26" t="n">
        <f aca="false">Mulai!G6</f>
        <v>55</v>
      </c>
      <c r="T80" s="22" t="s">
        <v>984</v>
      </c>
    </row>
    <row r="81" customFormat="false" ht="150" hidden="false" customHeight="true" outlineLevel="0" collapsed="false">
      <c r="A81" s="26" t="n">
        <v>76</v>
      </c>
      <c r="B81" s="26" t="n">
        <v>3</v>
      </c>
      <c r="C81" s="22" t="s">
        <v>224</v>
      </c>
      <c r="D81" s="22" t="s">
        <v>144</v>
      </c>
      <c r="E81" s="22" t="s">
        <v>985</v>
      </c>
      <c r="F81" s="22" t="s">
        <v>986</v>
      </c>
      <c r="G81" s="22" t="str">
        <f aca="false">'Kamus Materi'!C45</f>
        <v>Comparative membandingkan dua hal: small→smaller, useful→more useful; good→better. Gunakan than untuk menyebut pembanding.</v>
      </c>
      <c r="H81" s="22" t="str">
        <f aca="false">'Kamus Materi'!D45</f>
        <v>This page is faster than that page. = Halaman ini lebih cepat daripada halaman itu.</v>
      </c>
      <c r="I81" s="22" t="s">
        <v>987</v>
      </c>
      <c r="J81" s="22" t="s">
        <v>988</v>
      </c>
      <c r="K81" s="35" t="s">
        <v>989</v>
      </c>
      <c r="L81" s="22" t="s">
        <v>990</v>
      </c>
      <c r="M81" s="22" t="s">
        <v>991</v>
      </c>
      <c r="N81" s="35" t="s">
        <v>992</v>
      </c>
      <c r="O81" s="22" t="s">
        <v>993</v>
      </c>
      <c r="P81" s="22" t="s">
        <v>994</v>
      </c>
      <c r="Q81" s="22" t="s">
        <v>995</v>
      </c>
      <c r="R81" s="22" t="s">
        <v>996</v>
      </c>
      <c r="S81" s="26" t="n">
        <f aca="false">Mulai!G6</f>
        <v>55</v>
      </c>
      <c r="T81" s="22" t="s">
        <v>997</v>
      </c>
    </row>
    <row r="82" customFormat="false" ht="150" hidden="false" customHeight="true" outlineLevel="0" collapsed="false">
      <c r="A82" s="26" t="n">
        <v>77</v>
      </c>
      <c r="B82" s="26" t="n">
        <v>3</v>
      </c>
      <c r="C82" s="22" t="s">
        <v>224</v>
      </c>
      <c r="D82" s="22" t="s">
        <v>145</v>
      </c>
      <c r="E82" s="22" t="s">
        <v>998</v>
      </c>
      <c r="F82" s="22" t="s">
        <v>986</v>
      </c>
      <c r="G82" s="22" t="str">
        <f aca="false">'Kamus Materi'!C45</f>
        <v>Comparative membandingkan dua hal: small→smaller, useful→more useful; good→better. Gunakan than untuk menyebut pembanding.</v>
      </c>
      <c r="H82" s="22" t="str">
        <f aca="false">'Kamus Materi'!D45</f>
        <v>This page is faster than that page. = Halaman ini lebih cepat daripada halaman itu.</v>
      </c>
      <c r="I82" s="22" t="s">
        <v>999</v>
      </c>
      <c r="J82" s="22" t="s">
        <v>988</v>
      </c>
      <c r="K82" s="35" t="s">
        <v>989</v>
      </c>
      <c r="L82" s="22" t="s">
        <v>1000</v>
      </c>
      <c r="M82" s="22" t="s">
        <v>1001</v>
      </c>
      <c r="N82" s="35" t="s">
        <v>1002</v>
      </c>
      <c r="O82" s="22" t="s">
        <v>1003</v>
      </c>
      <c r="P82" s="22" t="s">
        <v>1004</v>
      </c>
      <c r="Q82" s="22" t="s">
        <v>1005</v>
      </c>
      <c r="R82" s="22" t="s">
        <v>1006</v>
      </c>
      <c r="S82" s="26" t="n">
        <f aca="false">Mulai!G6</f>
        <v>55</v>
      </c>
      <c r="T82" s="22" t="s">
        <v>1007</v>
      </c>
    </row>
    <row r="83" customFormat="false" ht="150" hidden="false" customHeight="true" outlineLevel="0" collapsed="false">
      <c r="A83" s="26" t="n">
        <v>78</v>
      </c>
      <c r="B83" s="26" t="n">
        <v>3</v>
      </c>
      <c r="C83" s="22" t="s">
        <v>224</v>
      </c>
      <c r="D83" s="22" t="s">
        <v>146</v>
      </c>
      <c r="E83" s="22" t="s">
        <v>1008</v>
      </c>
      <c r="F83" s="22" t="s">
        <v>1009</v>
      </c>
      <c r="G83" s="22" t="str">
        <f aca="false">'Kamus Materi'!C46</f>
        <v>Superlative menunjukkan yang paling dalam suatu kelompok: the smallest, the most useful; good→the best. Tidak sama dengan perbandingan dua hal.</v>
      </c>
      <c r="H83" s="22" t="str">
        <f aca="false">'Kamus Materi'!D46</f>
        <v>This is the best option for me. = Ini pilihan terbaik untuk saya.</v>
      </c>
      <c r="I83" s="22" t="s">
        <v>1010</v>
      </c>
      <c r="J83" s="22" t="s">
        <v>991</v>
      </c>
      <c r="K83" s="35" t="s">
        <v>992</v>
      </c>
      <c r="L83" s="22" t="s">
        <v>1011</v>
      </c>
      <c r="M83" s="22" t="s">
        <v>991</v>
      </c>
      <c r="N83" s="35" t="s">
        <v>992</v>
      </c>
      <c r="O83" s="22" t="s">
        <v>1012</v>
      </c>
      <c r="P83" s="22" t="s">
        <v>1013</v>
      </c>
      <c r="Q83" s="22" t="s">
        <v>1014</v>
      </c>
      <c r="R83" s="22" t="s">
        <v>1015</v>
      </c>
      <c r="S83" s="26" t="n">
        <f aca="false">Mulai!G6</f>
        <v>55</v>
      </c>
      <c r="T83" s="22" t="s">
        <v>1016</v>
      </c>
    </row>
    <row r="84" customFormat="false" ht="150" hidden="false" customHeight="true" outlineLevel="0" collapsed="false">
      <c r="A84" s="26" t="n">
        <v>79</v>
      </c>
      <c r="B84" s="26" t="n">
        <v>3</v>
      </c>
      <c r="C84" s="22" t="s">
        <v>224</v>
      </c>
      <c r="D84" s="22" t="s">
        <v>147</v>
      </c>
      <c r="E84" s="22" t="s">
        <v>1017</v>
      </c>
      <c r="F84" s="22" t="s">
        <v>781</v>
      </c>
      <c r="G84" s="22" t="str">
        <f aca="false">'Kamus Materi'!C56</f>
        <v>Gist adalah gagasan umum; scanning mencari informasi tertentu; detail adalah fakta spesifik. Baca untuk tujuan tertentu sebelum menerjemahkan kata satu per satu.</v>
      </c>
      <c r="H84" s="22" t="str">
        <f aca="false">'Kamus Materi'!D56</f>
        <v>Gist: teks tentang pekerjaan. Detail: wawancara hari Senin pukul 10.</v>
      </c>
      <c r="I84" s="22" t="s">
        <v>1018</v>
      </c>
      <c r="J84" s="22" t="s">
        <v>1019</v>
      </c>
      <c r="K84" s="35" t="s">
        <v>1020</v>
      </c>
      <c r="L84" s="22" t="s">
        <v>1021</v>
      </c>
      <c r="M84" s="22" t="s">
        <v>1001</v>
      </c>
      <c r="N84" s="35" t="s">
        <v>1002</v>
      </c>
      <c r="O84" s="22" t="s">
        <v>1022</v>
      </c>
      <c r="P84" s="22" t="s">
        <v>1023</v>
      </c>
      <c r="Q84" s="22" t="s">
        <v>1024</v>
      </c>
      <c r="R84" s="22" t="s">
        <v>1025</v>
      </c>
      <c r="S84" s="26" t="n">
        <f aca="false">Mulai!G6</f>
        <v>55</v>
      </c>
      <c r="T84" s="22" t="s">
        <v>1026</v>
      </c>
    </row>
    <row r="85" customFormat="false" ht="150" hidden="false" customHeight="true" outlineLevel="0" collapsed="false">
      <c r="A85" s="26" t="n">
        <v>80</v>
      </c>
      <c r="B85" s="26" t="n">
        <v>3</v>
      </c>
      <c r="C85" s="22" t="s">
        <v>224</v>
      </c>
      <c r="D85" s="22" t="s">
        <v>148</v>
      </c>
      <c r="E85" s="22" t="s">
        <v>1027</v>
      </c>
      <c r="F85" s="22" t="s">
        <v>1028</v>
      </c>
      <c r="G85" s="22" t="str">
        <f aca="false">'Kamus Materi'!C55</f>
        <v>I think memperkenalkan pendapat; because memberi alasan. I agree/I disagree menunjukkan persetujuan atau perbedaan dengan sopan.</v>
      </c>
      <c r="H85" s="22" t="str">
        <f aca="false">'Kamus Materi'!D55</f>
        <v>I think this design is clear because it is simple. = Menurut saya desain ini jelas karena sederhana.</v>
      </c>
      <c r="I85" s="22" t="s">
        <v>1029</v>
      </c>
      <c r="J85" s="22" t="s">
        <v>1001</v>
      </c>
      <c r="K85" s="35" t="s">
        <v>1002</v>
      </c>
      <c r="L85" s="22" t="s">
        <v>1030</v>
      </c>
      <c r="M85" s="22" t="s">
        <v>1001</v>
      </c>
      <c r="N85" s="35" t="s">
        <v>1002</v>
      </c>
      <c r="O85" s="22" t="s">
        <v>1031</v>
      </c>
      <c r="P85" s="22" t="s">
        <v>1032</v>
      </c>
      <c r="Q85" s="22" t="s">
        <v>1033</v>
      </c>
      <c r="R85" s="22" t="s">
        <v>1034</v>
      </c>
      <c r="S85" s="26" t="n">
        <f aca="false">Mulai!G6</f>
        <v>55</v>
      </c>
      <c r="T85" s="22" t="s">
        <v>1035</v>
      </c>
    </row>
    <row r="86" customFormat="false" ht="150" hidden="false" customHeight="true" outlineLevel="0" collapsed="false">
      <c r="A86" s="26" t="n">
        <v>81</v>
      </c>
      <c r="B86" s="26" t="n">
        <v>3</v>
      </c>
      <c r="C86" s="22" t="s">
        <v>289</v>
      </c>
      <c r="D86" s="22" t="s">
        <v>149</v>
      </c>
      <c r="E86" s="22" t="s">
        <v>1036</v>
      </c>
      <c r="F86" s="22" t="s">
        <v>291</v>
      </c>
      <c r="G86" s="22" t="str">
        <f aca="false">'Kamus Materi'!C59</f>
        <v>Active recall berarti mencoba mengingat tanpa melihat catatan. Spaced review adalah mengulang materi pada jeda berbeda; ulangi kesalahan lebih sering.</v>
      </c>
      <c r="H86" s="22" t="str">
        <f aca="false">'Kamus Materi'!D59</f>
        <v>Tutup catatan, sebutkan lima kata kemarin, kemudian periksa jawabannya.</v>
      </c>
      <c r="I86" s="22" t="s">
        <v>1037</v>
      </c>
      <c r="J86" s="22" t="s">
        <v>988</v>
      </c>
      <c r="K86" s="35" t="s">
        <v>989</v>
      </c>
      <c r="L86" s="22" t="s">
        <v>1038</v>
      </c>
      <c r="M86" s="22" t="s">
        <v>991</v>
      </c>
      <c r="N86" s="35" t="s">
        <v>992</v>
      </c>
      <c r="O86" s="22" t="s">
        <v>1039</v>
      </c>
      <c r="P86" s="22" t="s">
        <v>1040</v>
      </c>
      <c r="Q86" s="22" t="s">
        <v>1041</v>
      </c>
      <c r="R86" s="22" t="s">
        <v>1042</v>
      </c>
      <c r="S86" s="26" t="n">
        <f aca="false">Mulai!G6</f>
        <v>55</v>
      </c>
      <c r="T86" s="22" t="s">
        <v>1043</v>
      </c>
    </row>
    <row r="87" customFormat="false" ht="150" hidden="false" customHeight="true" outlineLevel="0" collapsed="false">
      <c r="A87" s="26" t="n">
        <v>82</v>
      </c>
      <c r="B87" s="26" t="n">
        <v>3</v>
      </c>
      <c r="C87" s="22" t="s">
        <v>224</v>
      </c>
      <c r="D87" s="22" t="s">
        <v>150</v>
      </c>
      <c r="E87" s="22" t="s">
        <v>1044</v>
      </c>
      <c r="F87" s="22" t="s">
        <v>1045</v>
      </c>
      <c r="G87" s="22" t="str">
        <f aca="false">'Kamus Materi'!C47</f>
        <v>Keterangan cara menjelaskan bagaimana tindakan dilakukan. Banyak yang berakhiran -ly, tetapi ada bentuk khusus seperti well dan fast.</v>
      </c>
      <c r="H87" s="22" t="str">
        <f aca="false">'Kamus Materi'!D47</f>
        <v>Please speak slowly. = Tolong bicara perlahan.</v>
      </c>
      <c r="I87" s="22" t="s">
        <v>1046</v>
      </c>
      <c r="J87" s="22" t="s">
        <v>1047</v>
      </c>
      <c r="K87" s="35" t="s">
        <v>1048</v>
      </c>
      <c r="L87" s="22" t="s">
        <v>1049</v>
      </c>
      <c r="M87" s="22" t="s">
        <v>1047</v>
      </c>
      <c r="N87" s="35" t="s">
        <v>1048</v>
      </c>
      <c r="O87" s="22" t="s">
        <v>1050</v>
      </c>
      <c r="P87" s="22" t="s">
        <v>1051</v>
      </c>
      <c r="Q87" s="22" t="s">
        <v>1052</v>
      </c>
      <c r="R87" s="22" t="s">
        <v>1053</v>
      </c>
      <c r="S87" s="26" t="n">
        <f aca="false">Mulai!G6</f>
        <v>55</v>
      </c>
      <c r="T87" s="22" t="s">
        <v>1054</v>
      </c>
    </row>
    <row r="88" customFormat="false" ht="150" hidden="false" customHeight="true" outlineLevel="0" collapsed="false">
      <c r="A88" s="26" t="n">
        <v>83</v>
      </c>
      <c r="B88" s="26" t="n">
        <v>3</v>
      </c>
      <c r="C88" s="22" t="s">
        <v>224</v>
      </c>
      <c r="D88" s="22" t="s">
        <v>151</v>
      </c>
      <c r="E88" s="22" t="s">
        <v>1055</v>
      </c>
      <c r="F88" s="22" t="s">
        <v>1056</v>
      </c>
      <c r="G88" s="22" t="str">
        <f aca="false">'Kamus Materi'!C48</f>
        <v>Should + verb dasar memberi saran; shouldn't menyarankan agar tidak melakukan sesuatu. Ini tidak sekuat kewajiban.</v>
      </c>
      <c r="H88" s="22" t="str">
        <f aca="false">'Kamus Materi'!D48</f>
        <v>You should take a break. = Sebaiknya kamu beristirahat.</v>
      </c>
      <c r="I88" s="22" t="s">
        <v>1057</v>
      </c>
      <c r="J88" s="22" t="s">
        <v>1058</v>
      </c>
      <c r="K88" s="35" t="s">
        <v>1059</v>
      </c>
      <c r="L88" s="22" t="s">
        <v>1060</v>
      </c>
      <c r="M88" s="22" t="s">
        <v>1058</v>
      </c>
      <c r="N88" s="35" t="s">
        <v>1059</v>
      </c>
      <c r="O88" s="22" t="s">
        <v>1061</v>
      </c>
      <c r="P88" s="22" t="s">
        <v>1062</v>
      </c>
      <c r="Q88" s="22" t="s">
        <v>1063</v>
      </c>
      <c r="R88" s="22" t="s">
        <v>1064</v>
      </c>
      <c r="S88" s="26" t="n">
        <f aca="false">Mulai!G6</f>
        <v>55</v>
      </c>
      <c r="T88" s="22" t="s">
        <v>1065</v>
      </c>
    </row>
    <row r="89" customFormat="false" ht="150" hidden="false" customHeight="true" outlineLevel="0" collapsed="false">
      <c r="A89" s="26" t="n">
        <v>84</v>
      </c>
      <c r="B89" s="26" t="n">
        <v>3</v>
      </c>
      <c r="C89" s="22" t="s">
        <v>224</v>
      </c>
      <c r="D89" s="22" t="s">
        <v>152</v>
      </c>
      <c r="E89" s="22" t="s">
        <v>1066</v>
      </c>
      <c r="F89" s="22" t="s">
        <v>1067</v>
      </c>
      <c r="G89" s="22" t="str">
        <f aca="false">'Kamus Materi'!C49</f>
        <v>Must dan have to menyatakan kewajiban. Mustn't berarti dilarang; don't have to berarti tidak wajib, bukan dilarang.</v>
      </c>
      <c r="H89" s="22" t="str">
        <f aca="false">'Kamus Materi'!D49</f>
        <v>You mustn't share passwords. You don't have to print it. = Dilarang berbagi kata sandi; tidak wajib mencetak.</v>
      </c>
      <c r="I89" s="22" t="s">
        <v>1068</v>
      </c>
      <c r="J89" s="22" t="s">
        <v>1069</v>
      </c>
      <c r="K89" s="35" t="s">
        <v>1070</v>
      </c>
      <c r="L89" s="22" t="s">
        <v>1071</v>
      </c>
      <c r="M89" s="22" t="s">
        <v>1069</v>
      </c>
      <c r="N89" s="35" t="s">
        <v>1070</v>
      </c>
      <c r="O89" s="22" t="s">
        <v>1072</v>
      </c>
      <c r="P89" s="22" t="s">
        <v>1073</v>
      </c>
      <c r="Q89" s="22" t="s">
        <v>1074</v>
      </c>
      <c r="R89" s="22" t="s">
        <v>1075</v>
      </c>
      <c r="S89" s="26" t="n">
        <f aca="false">Mulai!G6</f>
        <v>55</v>
      </c>
      <c r="T89" s="22" t="s">
        <v>1076</v>
      </c>
    </row>
    <row r="90" customFormat="false" ht="150" hidden="false" customHeight="true" outlineLevel="0" collapsed="false">
      <c r="A90" s="26" t="n">
        <v>85</v>
      </c>
      <c r="B90" s="26" t="n">
        <v>3</v>
      </c>
      <c r="C90" s="22" t="s">
        <v>224</v>
      </c>
      <c r="D90" s="22" t="s">
        <v>153</v>
      </c>
      <c r="E90" s="22" t="s">
        <v>1077</v>
      </c>
      <c r="F90" s="22" t="s">
        <v>1078</v>
      </c>
      <c r="G90" s="22" t="str">
        <f aca="false">'Kamus Materi'!C50</f>
        <v>Was/were + verb-ing menggambarkan aktivitas yang sedang berlangsung pada suatu waktu lampau; simple past dapat menyela latar aktivitas itu.</v>
      </c>
      <c r="H90" s="22" t="str">
        <f aca="false">'Kamus Materi'!D50</f>
        <v>I was studying when you called. = Saya sedang belajar ketika kamu menelepon.</v>
      </c>
      <c r="I90" s="22" t="s">
        <v>1079</v>
      </c>
      <c r="J90" s="22" t="s">
        <v>1080</v>
      </c>
      <c r="K90" s="35" t="s">
        <v>1081</v>
      </c>
      <c r="L90" s="22" t="s">
        <v>1082</v>
      </c>
      <c r="M90" s="22" t="s">
        <v>1083</v>
      </c>
      <c r="N90" s="35" t="s">
        <v>1084</v>
      </c>
      <c r="O90" s="22" t="s">
        <v>1085</v>
      </c>
      <c r="P90" s="22" t="s">
        <v>1086</v>
      </c>
      <c r="Q90" s="22" t="s">
        <v>1087</v>
      </c>
      <c r="R90" s="22" t="s">
        <v>1088</v>
      </c>
      <c r="S90" s="26" t="n">
        <f aca="false">Mulai!G6</f>
        <v>55</v>
      </c>
      <c r="T90" s="22" t="s">
        <v>1089</v>
      </c>
    </row>
    <row r="91" customFormat="false" ht="150" hidden="false" customHeight="true" outlineLevel="0" collapsed="false">
      <c r="A91" s="26" t="n">
        <v>86</v>
      </c>
      <c r="B91" s="26" t="n">
        <v>3</v>
      </c>
      <c r="C91" s="22" t="s">
        <v>224</v>
      </c>
      <c r="D91" s="22" t="s">
        <v>154</v>
      </c>
      <c r="E91" s="22" t="s">
        <v>1090</v>
      </c>
      <c r="F91" s="22" t="s">
        <v>1078</v>
      </c>
      <c r="G91" s="22" t="str">
        <f aca="false">'Kamus Materi'!C50</f>
        <v>Was/were + verb-ing menggambarkan aktivitas yang sedang berlangsung pada suatu waktu lampau; simple past dapat menyela latar aktivitas itu.</v>
      </c>
      <c r="H91" s="22" t="str">
        <f aca="false">'Kamus Materi'!D50</f>
        <v>I was studying when you called. = Saya sedang belajar ketika kamu menelepon.</v>
      </c>
      <c r="I91" s="22" t="s">
        <v>1091</v>
      </c>
      <c r="J91" s="22" t="s">
        <v>1080</v>
      </c>
      <c r="K91" s="35" t="s">
        <v>1081</v>
      </c>
      <c r="L91" s="22" t="s">
        <v>1092</v>
      </c>
      <c r="M91" s="22" t="s">
        <v>1083</v>
      </c>
      <c r="N91" s="35" t="s">
        <v>1084</v>
      </c>
      <c r="O91" s="22" t="s">
        <v>1093</v>
      </c>
      <c r="P91" s="22" t="s">
        <v>1094</v>
      </c>
      <c r="Q91" s="22" t="s">
        <v>1095</v>
      </c>
      <c r="R91" s="22" t="s">
        <v>1096</v>
      </c>
      <c r="S91" s="26" t="n">
        <f aca="false">Mulai!G6</f>
        <v>55</v>
      </c>
      <c r="T91" s="22" t="s">
        <v>1097</v>
      </c>
    </row>
    <row r="92" customFormat="false" ht="150" hidden="false" customHeight="true" outlineLevel="0" collapsed="false">
      <c r="A92" s="26" t="n">
        <v>87</v>
      </c>
      <c r="B92" s="26" t="n">
        <v>3</v>
      </c>
      <c r="C92" s="22" t="s">
        <v>224</v>
      </c>
      <c r="D92" s="22" t="s">
        <v>155</v>
      </c>
      <c r="E92" s="22" t="s">
        <v>1098</v>
      </c>
      <c r="F92" s="22" t="s">
        <v>768</v>
      </c>
      <c r="G92" s="22" t="str">
        <f aca="false">'Kamus Materi'!C42</f>
        <v>First, then, next, finally mengurutkan cerita. And menambah informasi; but memberi kontras; because memberi alasan; so menyatakan akibat.</v>
      </c>
      <c r="H92" s="22" t="str">
        <f aca="false">'Kamus Materi'!D42</f>
        <v>I was tired, so I rested. = Saya lelah, jadi saya beristirahat.</v>
      </c>
      <c r="I92" s="22" t="s">
        <v>1099</v>
      </c>
      <c r="J92" s="22" t="s">
        <v>592</v>
      </c>
      <c r="K92" s="35" t="s">
        <v>593</v>
      </c>
      <c r="L92" s="22" t="s">
        <v>1100</v>
      </c>
      <c r="M92" s="22" t="s">
        <v>794</v>
      </c>
      <c r="N92" s="35" t="s">
        <v>795</v>
      </c>
      <c r="O92" s="22" t="s">
        <v>1101</v>
      </c>
      <c r="P92" s="22" t="s">
        <v>1102</v>
      </c>
      <c r="Q92" s="22" t="s">
        <v>1103</v>
      </c>
      <c r="R92" s="22" t="s">
        <v>1104</v>
      </c>
      <c r="S92" s="26" t="n">
        <f aca="false">Mulai!G6</f>
        <v>55</v>
      </c>
      <c r="T92" s="22" t="s">
        <v>1105</v>
      </c>
    </row>
    <row r="93" customFormat="false" ht="150" hidden="false" customHeight="true" outlineLevel="0" collapsed="false">
      <c r="A93" s="26" t="n">
        <v>88</v>
      </c>
      <c r="B93" s="26" t="n">
        <v>3</v>
      </c>
      <c r="C93" s="22" t="s">
        <v>289</v>
      </c>
      <c r="D93" s="22" t="s">
        <v>156</v>
      </c>
      <c r="E93" s="22" t="s">
        <v>1106</v>
      </c>
      <c r="F93" s="22" t="s">
        <v>291</v>
      </c>
      <c r="G93" s="22" t="str">
        <f aca="false">'Kamus Materi'!C59</f>
        <v>Active recall berarti mencoba mengingat tanpa melihat catatan. Spaced review adalah mengulang materi pada jeda berbeda; ulangi kesalahan lebih sering.</v>
      </c>
      <c r="H93" s="22" t="str">
        <f aca="false">'Kamus Materi'!D59</f>
        <v>Tutup catatan, sebutkan lima kata kemarin, kemudian periksa jawabannya.</v>
      </c>
      <c r="I93" s="22" t="s">
        <v>1107</v>
      </c>
      <c r="J93" s="22" t="s">
        <v>1080</v>
      </c>
      <c r="K93" s="35" t="s">
        <v>1081</v>
      </c>
      <c r="L93" s="22" t="s">
        <v>1108</v>
      </c>
      <c r="M93" s="22" t="s">
        <v>1083</v>
      </c>
      <c r="N93" s="35" t="s">
        <v>1084</v>
      </c>
      <c r="O93" s="22" t="s">
        <v>1109</v>
      </c>
      <c r="P93" s="22" t="s">
        <v>1110</v>
      </c>
      <c r="Q93" s="22" t="s">
        <v>1111</v>
      </c>
      <c r="R93" s="22" t="s">
        <v>1112</v>
      </c>
      <c r="S93" s="26" t="n">
        <f aca="false">Mulai!G6</f>
        <v>55</v>
      </c>
      <c r="T93" s="22" t="s">
        <v>1113</v>
      </c>
    </row>
    <row r="94" customFormat="false" ht="150" hidden="false" customHeight="true" outlineLevel="0" collapsed="false">
      <c r="A94" s="26" t="n">
        <v>89</v>
      </c>
      <c r="B94" s="26" t="n">
        <v>3</v>
      </c>
      <c r="C94" s="22" t="s">
        <v>224</v>
      </c>
      <c r="D94" s="22" t="s">
        <v>157</v>
      </c>
      <c r="E94" s="22" t="s">
        <v>1114</v>
      </c>
      <c r="F94" s="22" t="s">
        <v>768</v>
      </c>
      <c r="G94" s="22" t="str">
        <f aca="false">'Kamus Materi'!C42</f>
        <v>First, then, next, finally mengurutkan cerita. And menambah informasi; but memberi kontras; because memberi alasan; so menyatakan akibat.</v>
      </c>
      <c r="H94" s="22" t="str">
        <f aca="false">'Kamus Materi'!D42</f>
        <v>I was tired, so I rested. = Saya lelah, jadi saya beristirahat.</v>
      </c>
      <c r="I94" s="22" t="s">
        <v>1115</v>
      </c>
      <c r="J94" s="22" t="s">
        <v>920</v>
      </c>
      <c r="K94" s="35" t="s">
        <v>921</v>
      </c>
      <c r="L94" s="22" t="s">
        <v>1116</v>
      </c>
      <c r="M94" s="22" t="s">
        <v>1117</v>
      </c>
      <c r="N94" s="35" t="s">
        <v>1118</v>
      </c>
      <c r="O94" s="22" t="s">
        <v>1119</v>
      </c>
      <c r="P94" s="22" t="s">
        <v>1120</v>
      </c>
      <c r="Q94" s="22" t="s">
        <v>1121</v>
      </c>
      <c r="R94" s="22" t="s">
        <v>1122</v>
      </c>
      <c r="S94" s="26" t="n">
        <f aca="false">Mulai!G6</f>
        <v>55</v>
      </c>
      <c r="T94" s="22" t="s">
        <v>1123</v>
      </c>
    </row>
    <row r="95" customFormat="false" ht="150" hidden="false" customHeight="true" outlineLevel="0" collapsed="false">
      <c r="A95" s="26" t="n">
        <v>90</v>
      </c>
      <c r="B95" s="26" t="n">
        <v>3</v>
      </c>
      <c r="C95" s="22" t="s">
        <v>289</v>
      </c>
      <c r="D95" s="22" t="s">
        <v>158</v>
      </c>
      <c r="E95" s="22" t="s">
        <v>1124</v>
      </c>
      <c r="F95" s="22" t="s">
        <v>540</v>
      </c>
      <c r="G95" s="22" t="str">
        <f aca="false">'Kamus Materi'!C63</f>
        <v>Rubrik adalah kriteria penilaian yang sama dari waktu ke waktu. Nilai latihan ini hanya alat belajar, bukan skor TOEFL atau sertifikasi CEFR.</v>
      </c>
      <c r="H95" s="22" t="str">
        <f aca="false">'Kamus Materi'!D63</f>
        <v>Bandingkan rekaman awal dan akhir: apakah pesan lebih lengkap dan mudah dipahami?</v>
      </c>
      <c r="I95" s="22" t="s">
        <v>1125</v>
      </c>
      <c r="J95" s="22" t="s">
        <v>1019</v>
      </c>
      <c r="K95" s="35" t="s">
        <v>1020</v>
      </c>
      <c r="L95" s="22" t="s">
        <v>1126</v>
      </c>
      <c r="M95" s="22" t="s">
        <v>1117</v>
      </c>
      <c r="N95" s="35" t="s">
        <v>1118</v>
      </c>
      <c r="O95" s="22" t="s">
        <v>1127</v>
      </c>
      <c r="P95" s="22" t="s">
        <v>1128</v>
      </c>
      <c r="Q95" s="22" t="s">
        <v>1129</v>
      </c>
      <c r="R95" s="22" t="s">
        <v>1130</v>
      </c>
      <c r="S95" s="26" t="n">
        <f aca="false">Mulai!G6</f>
        <v>55</v>
      </c>
      <c r="T95" s="22" t="s">
        <v>1131</v>
      </c>
    </row>
    <row r="96" customFormat="false" ht="150" hidden="false" customHeight="true" outlineLevel="0" collapsed="false">
      <c r="A96" s="26" t="n">
        <v>91</v>
      </c>
      <c r="B96" s="26" t="n">
        <v>4</v>
      </c>
      <c r="C96" s="22" t="s">
        <v>224</v>
      </c>
      <c r="D96" s="22" t="s">
        <v>159</v>
      </c>
      <c r="E96" s="22" t="s">
        <v>1132</v>
      </c>
      <c r="F96" s="22" t="s">
        <v>1133</v>
      </c>
      <c r="G96" s="22" t="str">
        <f aca="false">'Kamus Materi'!C51</f>
        <v>Have/has + past participle menghubungkan pengalaman/hasil masa lalu dengan sekarang. Untuk waktu lampau yang sudah spesifik seperti yesterday, biasanya gunakan simple past.</v>
      </c>
      <c r="H96" s="22" t="str">
        <f aca="false">'Kamus Materi'!D51</f>
        <v>I have finished the task. = Saya sudah menyelesaikan tugasnya.</v>
      </c>
      <c r="I96" s="22" t="s">
        <v>1134</v>
      </c>
      <c r="J96" s="22" t="s">
        <v>1135</v>
      </c>
      <c r="K96" s="35" t="s">
        <v>1136</v>
      </c>
      <c r="L96" s="22" t="s">
        <v>1137</v>
      </c>
      <c r="M96" s="22" t="s">
        <v>1138</v>
      </c>
      <c r="N96" s="35" t="s">
        <v>1139</v>
      </c>
      <c r="O96" s="22" t="s">
        <v>1140</v>
      </c>
      <c r="P96" s="22" t="s">
        <v>1141</v>
      </c>
      <c r="Q96" s="22" t="s">
        <v>1142</v>
      </c>
      <c r="R96" s="22" t="s">
        <v>1143</v>
      </c>
      <c r="S96" s="26" t="n">
        <f aca="false">Mulai!G6</f>
        <v>55</v>
      </c>
      <c r="T96" s="22" t="s">
        <v>1144</v>
      </c>
    </row>
    <row r="97" customFormat="false" ht="150" hidden="false" customHeight="true" outlineLevel="0" collapsed="false">
      <c r="A97" s="26" t="n">
        <v>92</v>
      </c>
      <c r="B97" s="26" t="n">
        <v>4</v>
      </c>
      <c r="C97" s="22" t="s">
        <v>224</v>
      </c>
      <c r="D97" s="22" t="s">
        <v>160</v>
      </c>
      <c r="E97" s="22" t="s">
        <v>1145</v>
      </c>
      <c r="F97" s="22" t="s">
        <v>1146</v>
      </c>
      <c r="G97" s="22" t="str">
        <f aca="false">'Kamus Materi'!C52</f>
        <v>Ever dalam pertanyaan pengalaman berarti pernah; never berarti belum/tidak pernah. Untuk pola ini gunakan have/has + past participle.</v>
      </c>
      <c r="H97" s="22" t="str">
        <f aca="false">'Kamus Materi'!D52</f>
        <v>Have you ever built an app? = Pernah membuat aplikasi?</v>
      </c>
      <c r="I97" s="22" t="s">
        <v>1147</v>
      </c>
      <c r="J97" s="22" t="s">
        <v>1135</v>
      </c>
      <c r="K97" s="35" t="s">
        <v>1136</v>
      </c>
      <c r="L97" s="22" t="s">
        <v>1148</v>
      </c>
      <c r="M97" s="22" t="s">
        <v>1138</v>
      </c>
      <c r="N97" s="35" t="s">
        <v>1139</v>
      </c>
      <c r="O97" s="22" t="s">
        <v>1149</v>
      </c>
      <c r="P97" s="22" t="s">
        <v>1150</v>
      </c>
      <c r="Q97" s="22" t="s">
        <v>1151</v>
      </c>
      <c r="R97" s="22" t="s">
        <v>1152</v>
      </c>
      <c r="S97" s="26" t="n">
        <f aca="false">Mulai!G6</f>
        <v>55</v>
      </c>
      <c r="T97" s="22" t="s">
        <v>1153</v>
      </c>
    </row>
    <row r="98" customFormat="false" ht="150" hidden="false" customHeight="true" outlineLevel="0" collapsed="false">
      <c r="A98" s="26" t="n">
        <v>93</v>
      </c>
      <c r="B98" s="26" t="n">
        <v>4</v>
      </c>
      <c r="C98" s="22" t="s">
        <v>224</v>
      </c>
      <c r="D98" s="22" t="s">
        <v>161</v>
      </c>
      <c r="E98" s="22" t="s">
        <v>1154</v>
      </c>
      <c r="F98" s="22" t="s">
        <v>1133</v>
      </c>
      <c r="G98" s="22" t="str">
        <f aca="false">'Kamus Materi'!C51</f>
        <v>Have/has + past participle menghubungkan pengalaman/hasil masa lalu dengan sekarang. Untuk waktu lampau yang sudah spesifik seperti yesterday, biasanya gunakan simple past.</v>
      </c>
      <c r="H98" s="22" t="str">
        <f aca="false">'Kamus Materi'!D51</f>
        <v>I have finished the task. = Saya sudah menyelesaikan tugasnya.</v>
      </c>
      <c r="I98" s="22" t="s">
        <v>1155</v>
      </c>
      <c r="J98" s="22" t="s">
        <v>1135</v>
      </c>
      <c r="K98" s="35" t="s">
        <v>1136</v>
      </c>
      <c r="L98" s="22" t="s">
        <v>1156</v>
      </c>
      <c r="M98" s="22" t="s">
        <v>1138</v>
      </c>
      <c r="N98" s="35" t="s">
        <v>1139</v>
      </c>
      <c r="O98" s="22" t="s">
        <v>1157</v>
      </c>
      <c r="P98" s="22" t="s">
        <v>1158</v>
      </c>
      <c r="Q98" s="22" t="s">
        <v>1159</v>
      </c>
      <c r="R98" s="22" t="s">
        <v>1160</v>
      </c>
      <c r="S98" s="26" t="n">
        <f aca="false">Mulai!G6</f>
        <v>55</v>
      </c>
      <c r="T98" s="22" t="s">
        <v>1161</v>
      </c>
    </row>
    <row r="99" customFormat="false" ht="150" hidden="false" customHeight="true" outlineLevel="0" collapsed="false">
      <c r="A99" s="26" t="n">
        <v>94</v>
      </c>
      <c r="B99" s="26" t="n">
        <v>4</v>
      </c>
      <c r="C99" s="22" t="s">
        <v>224</v>
      </c>
      <c r="D99" s="22" t="s">
        <v>162</v>
      </c>
      <c r="E99" s="22" t="s">
        <v>1162</v>
      </c>
      <c r="F99" s="22" t="s">
        <v>1163</v>
      </c>
      <c r="G99" s="22" t="str">
        <f aca="false">'Kamus Materi'!C53</f>
        <v>Dalam present perfect, for menyatakan durasi; since titik awal. Jangan gunakan since untuk jumlah durasi.</v>
      </c>
      <c r="H99" s="22" t="str">
        <f aca="false">'Kamus Materi'!D53</f>
        <v>I have lived here for two years, since 2024. = Sudah dua tahun, sejak 2024.</v>
      </c>
      <c r="I99" s="22" t="s">
        <v>1164</v>
      </c>
      <c r="J99" s="22" t="s">
        <v>1135</v>
      </c>
      <c r="K99" s="35" t="s">
        <v>1136</v>
      </c>
      <c r="L99" s="22" t="s">
        <v>1165</v>
      </c>
      <c r="M99" s="22" t="s">
        <v>1166</v>
      </c>
      <c r="N99" s="35" t="s">
        <v>1167</v>
      </c>
      <c r="O99" s="22" t="s">
        <v>1168</v>
      </c>
      <c r="P99" s="22" t="s">
        <v>1169</v>
      </c>
      <c r="Q99" s="22" t="s">
        <v>1170</v>
      </c>
      <c r="R99" s="22" t="s">
        <v>1171</v>
      </c>
      <c r="S99" s="26" t="n">
        <f aca="false">Mulai!G6</f>
        <v>55</v>
      </c>
      <c r="T99" s="22" t="s">
        <v>1172</v>
      </c>
    </row>
    <row r="100" customFormat="false" ht="150" hidden="false" customHeight="true" outlineLevel="0" collapsed="false">
      <c r="A100" s="26" t="n">
        <v>95</v>
      </c>
      <c r="B100" s="26" t="n">
        <v>4</v>
      </c>
      <c r="C100" s="22" t="s">
        <v>224</v>
      </c>
      <c r="D100" s="22" t="s">
        <v>163</v>
      </c>
      <c r="E100" s="22" t="s">
        <v>1173</v>
      </c>
      <c r="F100" s="22" t="s">
        <v>1174</v>
      </c>
      <c r="G100" s="22" t="str">
        <f aca="false">'Kamus Materi'!C54</f>
        <v>To + kata kerja dasar dapat menjelaskan tujuan, yaitu untuk melakukan sesuatu. Bedakan dari to sebagai preposition di pola lain.</v>
      </c>
      <c r="H100" s="22" t="str">
        <f aca="false">'Kamus Materi'!D54</f>
        <v>I study English to read documentation. = Saya belajar Inggris untuk membaca dokumentasi.</v>
      </c>
      <c r="I100" s="22" t="s">
        <v>1175</v>
      </c>
      <c r="J100" s="22" t="s">
        <v>1176</v>
      </c>
      <c r="K100" s="35" t="s">
        <v>1177</v>
      </c>
      <c r="L100" s="22" t="s">
        <v>1178</v>
      </c>
      <c r="M100" s="22" t="s">
        <v>1179</v>
      </c>
      <c r="N100" s="35" t="s">
        <v>1180</v>
      </c>
      <c r="O100" s="22" t="s">
        <v>1181</v>
      </c>
      <c r="P100" s="22" t="s">
        <v>1182</v>
      </c>
      <c r="Q100" s="22" t="s">
        <v>1183</v>
      </c>
      <c r="R100" s="22" t="s">
        <v>1184</v>
      </c>
      <c r="S100" s="26" t="n">
        <f aca="false">Mulai!G6</f>
        <v>55</v>
      </c>
      <c r="T100" s="22" t="s">
        <v>1185</v>
      </c>
    </row>
    <row r="101" customFormat="false" ht="150" hidden="false" customHeight="true" outlineLevel="0" collapsed="false">
      <c r="A101" s="26" t="n">
        <v>96</v>
      </c>
      <c r="B101" s="26" t="n">
        <v>4</v>
      </c>
      <c r="C101" s="22" t="s">
        <v>224</v>
      </c>
      <c r="D101" s="22" t="s">
        <v>164</v>
      </c>
      <c r="E101" s="22" t="s">
        <v>1186</v>
      </c>
      <c r="F101" s="22" t="s">
        <v>781</v>
      </c>
      <c r="G101" s="22" t="str">
        <f aca="false">'Kamus Materi'!C56</f>
        <v>Gist adalah gagasan umum; scanning mencari informasi tertentu; detail adalah fakta spesifik. Baca untuk tujuan tertentu sebelum menerjemahkan kata satu per satu.</v>
      </c>
      <c r="H101" s="22" t="str">
        <f aca="false">'Kamus Materi'!D56</f>
        <v>Gist: teks tentang pekerjaan. Detail: wawancara hari Senin pukul 10.</v>
      </c>
      <c r="I101" s="22" t="s">
        <v>1187</v>
      </c>
      <c r="J101" s="22" t="s">
        <v>1188</v>
      </c>
      <c r="K101" s="35" t="s">
        <v>1189</v>
      </c>
      <c r="L101" s="22" t="s">
        <v>1190</v>
      </c>
      <c r="M101" s="22" t="s">
        <v>1179</v>
      </c>
      <c r="N101" s="35" t="s">
        <v>1180</v>
      </c>
      <c r="O101" s="22" t="s">
        <v>1191</v>
      </c>
      <c r="P101" s="22" t="s">
        <v>1192</v>
      </c>
      <c r="Q101" s="22" t="s">
        <v>1193</v>
      </c>
      <c r="R101" s="22" t="s">
        <v>1194</v>
      </c>
      <c r="S101" s="26" t="n">
        <f aca="false">Mulai!G6</f>
        <v>55</v>
      </c>
      <c r="T101" s="22" t="s">
        <v>1195</v>
      </c>
    </row>
    <row r="102" customFormat="false" ht="150" hidden="false" customHeight="true" outlineLevel="0" collapsed="false">
      <c r="A102" s="26" t="n">
        <v>97</v>
      </c>
      <c r="B102" s="26" t="n">
        <v>4</v>
      </c>
      <c r="C102" s="22" t="s">
        <v>289</v>
      </c>
      <c r="D102" s="22" t="s">
        <v>165</v>
      </c>
      <c r="E102" s="22" t="s">
        <v>1196</v>
      </c>
      <c r="F102" s="22" t="s">
        <v>291</v>
      </c>
      <c r="G102" s="22" t="str">
        <f aca="false">'Kamus Materi'!C59</f>
        <v>Active recall berarti mencoba mengingat tanpa melihat catatan. Spaced review adalah mengulang materi pada jeda berbeda; ulangi kesalahan lebih sering.</v>
      </c>
      <c r="H102" s="22" t="str">
        <f aca="false">'Kamus Materi'!D59</f>
        <v>Tutup catatan, sebutkan lima kata kemarin, kemudian periksa jawabannya.</v>
      </c>
      <c r="I102" s="22" t="s">
        <v>1197</v>
      </c>
      <c r="J102" s="22" t="s">
        <v>1135</v>
      </c>
      <c r="K102" s="35" t="s">
        <v>1136</v>
      </c>
      <c r="L102" s="22" t="s">
        <v>1198</v>
      </c>
      <c r="M102" s="22" t="s">
        <v>1138</v>
      </c>
      <c r="N102" s="35" t="s">
        <v>1139</v>
      </c>
      <c r="O102" s="22" t="s">
        <v>1199</v>
      </c>
      <c r="P102" s="22" t="s">
        <v>1200</v>
      </c>
      <c r="Q102" s="22" t="s">
        <v>1201</v>
      </c>
      <c r="R102" s="22" t="s">
        <v>1202</v>
      </c>
      <c r="S102" s="26" t="n">
        <f aca="false">Mulai!G6</f>
        <v>55</v>
      </c>
      <c r="T102" s="22" t="s">
        <v>1203</v>
      </c>
    </row>
    <row r="103" customFormat="false" ht="150" hidden="false" customHeight="true" outlineLevel="0" collapsed="false">
      <c r="A103" s="26" t="n">
        <v>98</v>
      </c>
      <c r="B103" s="26" t="n">
        <v>4</v>
      </c>
      <c r="C103" s="22" t="s">
        <v>224</v>
      </c>
      <c r="D103" s="22" t="s">
        <v>166</v>
      </c>
      <c r="E103" s="22" t="s">
        <v>1204</v>
      </c>
      <c r="F103" s="22" t="s">
        <v>781</v>
      </c>
      <c r="G103" s="22" t="str">
        <f aca="false">'Kamus Materi'!C56</f>
        <v>Gist adalah gagasan umum; scanning mencari informasi tertentu; detail adalah fakta spesifik. Baca untuk tujuan tertentu sebelum menerjemahkan kata satu per satu.</v>
      </c>
      <c r="H103" s="22" t="str">
        <f aca="false">'Kamus Materi'!D56</f>
        <v>Gist: teks tentang pekerjaan. Detail: wawancara hari Senin pukul 10.</v>
      </c>
      <c r="I103" s="22" t="s">
        <v>1205</v>
      </c>
      <c r="J103" s="22" t="s">
        <v>1206</v>
      </c>
      <c r="K103" s="35" t="s">
        <v>1207</v>
      </c>
      <c r="L103" s="22" t="s">
        <v>1208</v>
      </c>
      <c r="M103" s="22" t="s">
        <v>483</v>
      </c>
      <c r="N103" s="35" t="s">
        <v>484</v>
      </c>
      <c r="O103" s="22" t="s">
        <v>1209</v>
      </c>
      <c r="P103" s="22" t="s">
        <v>1210</v>
      </c>
      <c r="Q103" s="22" t="s">
        <v>1211</v>
      </c>
      <c r="R103" s="22" t="s">
        <v>1212</v>
      </c>
      <c r="S103" s="26" t="n">
        <f aca="false">Mulai!G6</f>
        <v>55</v>
      </c>
      <c r="T103" s="22" t="s">
        <v>1213</v>
      </c>
    </row>
    <row r="104" customFormat="false" ht="150" hidden="false" customHeight="true" outlineLevel="0" collapsed="false">
      <c r="A104" s="26" t="n">
        <v>99</v>
      </c>
      <c r="B104" s="26" t="n">
        <v>4</v>
      </c>
      <c r="C104" s="22" t="s">
        <v>224</v>
      </c>
      <c r="D104" s="22" t="s">
        <v>167</v>
      </c>
      <c r="E104" s="22" t="s">
        <v>1214</v>
      </c>
      <c r="F104" s="22" t="s">
        <v>1215</v>
      </c>
      <c r="G104" s="22" t="str">
        <f aca="false">'Kamus Materi'!C61</f>
        <v>Profil profesional merangkum peran, keterampilan, dan pengalaman relevan. Pilih informasi benar; bedakan kemampuan nyata dari target belajar.</v>
      </c>
      <c r="H104" s="22" t="str">
        <f aca="false">'Kamus Materi'!D61</f>
        <v>I build websites with React. = Saya membuat situs web menggunakan React.</v>
      </c>
      <c r="I104" s="22" t="s">
        <v>1216</v>
      </c>
      <c r="J104" s="22" t="s">
        <v>1217</v>
      </c>
      <c r="K104" s="35" t="s">
        <v>1218</v>
      </c>
      <c r="L104" s="22" t="s">
        <v>1219</v>
      </c>
      <c r="M104" s="22" t="s">
        <v>563</v>
      </c>
      <c r="N104" s="35" t="s">
        <v>564</v>
      </c>
      <c r="O104" s="22" t="s">
        <v>1220</v>
      </c>
      <c r="P104" s="22" t="s">
        <v>1221</v>
      </c>
      <c r="Q104" s="22" t="s">
        <v>1222</v>
      </c>
      <c r="R104" s="22" t="s">
        <v>1223</v>
      </c>
      <c r="S104" s="26" t="n">
        <f aca="false">Mulai!G6</f>
        <v>55</v>
      </c>
      <c r="T104" s="22" t="s">
        <v>1224</v>
      </c>
    </row>
    <row r="105" customFormat="false" ht="150" hidden="false" customHeight="true" outlineLevel="0" collapsed="false">
      <c r="A105" s="26" t="n">
        <v>100</v>
      </c>
      <c r="B105" s="26" t="n">
        <v>4</v>
      </c>
      <c r="C105" s="22" t="s">
        <v>224</v>
      </c>
      <c r="D105" s="22" t="s">
        <v>168</v>
      </c>
      <c r="E105" s="22" t="s">
        <v>1225</v>
      </c>
      <c r="F105" s="22" t="s">
        <v>1226</v>
      </c>
      <c r="G105" s="22" t="str">
        <f aca="false">'Kamus Materi'!C62</f>
        <v>Clarification berarti meminta atau memberikan penjelasan agar tidak salah paham. Ulangi inti pesan dan konfirmasikan bagian yang belum jelas.</v>
      </c>
      <c r="H105" s="22" t="str">
        <f aca="false">'Kamus Materi'!D62</f>
        <v>Do you mean the login page? = Maksudmu halaman login?</v>
      </c>
      <c r="I105" s="22" t="s">
        <v>1227</v>
      </c>
      <c r="J105" s="22" t="s">
        <v>592</v>
      </c>
      <c r="K105" s="35" t="s">
        <v>593</v>
      </c>
      <c r="L105" s="22" t="s">
        <v>1228</v>
      </c>
      <c r="M105" s="22" t="s">
        <v>582</v>
      </c>
      <c r="N105" s="35" t="s">
        <v>583</v>
      </c>
      <c r="O105" s="22" t="s">
        <v>1229</v>
      </c>
      <c r="P105" s="22" t="s">
        <v>1230</v>
      </c>
      <c r="Q105" s="22" t="s">
        <v>1231</v>
      </c>
      <c r="R105" s="22" t="s">
        <v>1232</v>
      </c>
      <c r="S105" s="26" t="n">
        <f aca="false">Mulai!G6</f>
        <v>55</v>
      </c>
      <c r="T105" s="22" t="s">
        <v>1233</v>
      </c>
    </row>
    <row r="106" customFormat="false" ht="150" hidden="false" customHeight="true" outlineLevel="0" collapsed="false">
      <c r="A106" s="26" t="n">
        <v>101</v>
      </c>
      <c r="B106" s="26" t="n">
        <v>4</v>
      </c>
      <c r="C106" s="22" t="s">
        <v>224</v>
      </c>
      <c r="D106" s="22" t="s">
        <v>169</v>
      </c>
      <c r="E106" s="22" t="s">
        <v>1234</v>
      </c>
      <c r="F106" s="22" t="s">
        <v>590</v>
      </c>
      <c r="G106" s="22" t="str">
        <f aca="false">'Kamus Materi'!C30</f>
        <v>Kalimat perintah memakai kata kerja dasar tanpa subjek yang disebutkan. Tambahkan please agar lebih sopan; Don't + verb untuk larangan.</v>
      </c>
      <c r="H106" s="22" t="str">
        <f aca="false">'Kamus Materi'!D30</f>
        <v>Please open the file. Don't close the tab. = Buka berkasnya. Jangan tutup tab.</v>
      </c>
      <c r="I106" s="22" t="s">
        <v>1235</v>
      </c>
      <c r="J106" s="22" t="s">
        <v>592</v>
      </c>
      <c r="K106" s="35" t="s">
        <v>593</v>
      </c>
      <c r="L106" s="22" t="s">
        <v>1236</v>
      </c>
      <c r="M106" s="22" t="s">
        <v>794</v>
      </c>
      <c r="N106" s="35" t="s">
        <v>795</v>
      </c>
      <c r="O106" s="22" t="s">
        <v>1237</v>
      </c>
      <c r="P106" s="22" t="s">
        <v>1238</v>
      </c>
      <c r="Q106" s="22" t="s">
        <v>1239</v>
      </c>
      <c r="R106" s="22" t="s">
        <v>1240</v>
      </c>
      <c r="S106" s="26" t="n">
        <f aca="false">Mulai!G6</f>
        <v>55</v>
      </c>
      <c r="T106" s="22" t="s">
        <v>1241</v>
      </c>
    </row>
    <row r="107" customFormat="false" ht="150" hidden="false" customHeight="true" outlineLevel="0" collapsed="false">
      <c r="A107" s="26" t="n">
        <v>102</v>
      </c>
      <c r="B107" s="26" t="n">
        <v>4</v>
      </c>
      <c r="C107" s="22" t="s">
        <v>224</v>
      </c>
      <c r="D107" s="22" t="s">
        <v>170</v>
      </c>
      <c r="E107" s="22" t="s">
        <v>1242</v>
      </c>
      <c r="F107" s="22" t="s">
        <v>768</v>
      </c>
      <c r="G107" s="22" t="str">
        <f aca="false">'Kamus Materi'!C42</f>
        <v>First, then, next, finally mengurutkan cerita. And menambah informasi; but memberi kontras; because memberi alasan; so menyatakan akibat.</v>
      </c>
      <c r="H107" s="22" t="str">
        <f aca="false">'Kamus Materi'!D42</f>
        <v>I was tired, so I rested. = Saya lelah, jadi saya beristirahat.</v>
      </c>
      <c r="I107" s="22" t="s">
        <v>1243</v>
      </c>
      <c r="J107" s="22" t="s">
        <v>592</v>
      </c>
      <c r="K107" s="35" t="s">
        <v>593</v>
      </c>
      <c r="L107" s="22" t="s">
        <v>1244</v>
      </c>
      <c r="M107" s="22" t="s">
        <v>794</v>
      </c>
      <c r="N107" s="35" t="s">
        <v>795</v>
      </c>
      <c r="O107" s="22" t="s">
        <v>1245</v>
      </c>
      <c r="P107" s="22" t="s">
        <v>1246</v>
      </c>
      <c r="Q107" s="22" t="s">
        <v>1247</v>
      </c>
      <c r="R107" s="22" t="s">
        <v>1248</v>
      </c>
      <c r="S107" s="26" t="n">
        <f aca="false">Mulai!G6</f>
        <v>55</v>
      </c>
      <c r="T107" s="22" t="s">
        <v>1249</v>
      </c>
    </row>
    <row r="108" customFormat="false" ht="150" hidden="false" customHeight="true" outlineLevel="0" collapsed="false">
      <c r="A108" s="26" t="n">
        <v>103</v>
      </c>
      <c r="B108" s="26" t="n">
        <v>4</v>
      </c>
      <c r="C108" s="22" t="s">
        <v>224</v>
      </c>
      <c r="D108" s="22" t="s">
        <v>171</v>
      </c>
      <c r="E108" s="22" t="s">
        <v>1250</v>
      </c>
      <c r="F108" s="22" t="s">
        <v>645</v>
      </c>
      <c r="G108" s="22" t="str">
        <f aca="false">'Kamus Materi'!C32</f>
        <v>Simple present menyoroti kebiasaan/fakta; present continuous menyoroti kegiatan yang sedang berlangsung. Pilih berdasarkan maksud, bukan hanya kata waktu.</v>
      </c>
      <c r="H108" s="22" t="str">
        <f aca="false">'Kamus Materi'!D32</f>
        <v>I work at home. I am working now. = Saya bekerja di rumah; sekarang sedang bekerja.</v>
      </c>
      <c r="I108" s="22" t="s">
        <v>1251</v>
      </c>
      <c r="J108" s="22" t="s">
        <v>1217</v>
      </c>
      <c r="K108" s="35" t="s">
        <v>1218</v>
      </c>
      <c r="L108" s="22" t="s">
        <v>1252</v>
      </c>
      <c r="M108" s="22" t="s">
        <v>1253</v>
      </c>
      <c r="N108" s="35" t="s">
        <v>1254</v>
      </c>
      <c r="O108" s="22" t="s">
        <v>1255</v>
      </c>
      <c r="P108" s="22" t="s">
        <v>1256</v>
      </c>
      <c r="Q108" s="22" t="s">
        <v>1257</v>
      </c>
      <c r="R108" s="22" t="s">
        <v>1258</v>
      </c>
      <c r="S108" s="26" t="n">
        <f aca="false">Mulai!G6</f>
        <v>55</v>
      </c>
      <c r="T108" s="22" t="s">
        <v>1259</v>
      </c>
    </row>
    <row r="109" customFormat="false" ht="150" hidden="false" customHeight="true" outlineLevel="0" collapsed="false">
      <c r="A109" s="26" t="n">
        <v>104</v>
      </c>
      <c r="B109" s="26" t="n">
        <v>4</v>
      </c>
      <c r="C109" s="22" t="s">
        <v>289</v>
      </c>
      <c r="D109" s="22" t="s">
        <v>172</v>
      </c>
      <c r="E109" s="22" t="s">
        <v>1260</v>
      </c>
      <c r="F109" s="22" t="s">
        <v>291</v>
      </c>
      <c r="G109" s="22" t="str">
        <f aca="false">'Kamus Materi'!C59</f>
        <v>Active recall berarti mencoba mengingat tanpa melihat catatan. Spaced review adalah mengulang materi pada jeda berbeda; ulangi kesalahan lebih sering.</v>
      </c>
      <c r="H109" s="22" t="str">
        <f aca="false">'Kamus Materi'!D59</f>
        <v>Tutup catatan, sebutkan lima kata kemarin, kemudian periksa jawabannya.</v>
      </c>
      <c r="I109" s="22" t="s">
        <v>1261</v>
      </c>
      <c r="J109" s="22" t="s">
        <v>1206</v>
      </c>
      <c r="K109" s="35" t="s">
        <v>1207</v>
      </c>
      <c r="L109" s="22" t="s">
        <v>1262</v>
      </c>
      <c r="M109" s="22" t="s">
        <v>582</v>
      </c>
      <c r="N109" s="35" t="s">
        <v>583</v>
      </c>
      <c r="O109" s="22" t="s">
        <v>1263</v>
      </c>
      <c r="P109" s="22" t="s">
        <v>1264</v>
      </c>
      <c r="Q109" s="22" t="s">
        <v>1265</v>
      </c>
      <c r="R109" s="22" t="s">
        <v>1266</v>
      </c>
      <c r="S109" s="26" t="n">
        <f aca="false">Mulai!G6</f>
        <v>55</v>
      </c>
      <c r="T109" s="22" t="s">
        <v>1267</v>
      </c>
    </row>
    <row r="110" customFormat="false" ht="150" hidden="false" customHeight="true" outlineLevel="0" collapsed="false">
      <c r="A110" s="26" t="n">
        <v>105</v>
      </c>
      <c r="B110" s="26" t="n">
        <v>4</v>
      </c>
      <c r="C110" s="22" t="s">
        <v>224</v>
      </c>
      <c r="D110" s="22" t="s">
        <v>173</v>
      </c>
      <c r="E110" s="22" t="s">
        <v>1268</v>
      </c>
      <c r="F110" s="22" t="s">
        <v>1028</v>
      </c>
      <c r="G110" s="22" t="str">
        <f aca="false">'Kamus Materi'!C55</f>
        <v>I think memperkenalkan pendapat; because memberi alasan. I agree/I disagree menunjukkan persetujuan atau perbedaan dengan sopan.</v>
      </c>
      <c r="H110" s="22" t="str">
        <f aca="false">'Kamus Materi'!D55</f>
        <v>I think this design is clear because it is simple. = Menurut saya desain ini jelas karena sederhana.</v>
      </c>
      <c r="I110" s="22" t="s">
        <v>1269</v>
      </c>
      <c r="J110" s="22" t="s">
        <v>1019</v>
      </c>
      <c r="K110" s="35" t="s">
        <v>1020</v>
      </c>
      <c r="L110" s="22" t="s">
        <v>1270</v>
      </c>
      <c r="M110" s="22" t="s">
        <v>1001</v>
      </c>
      <c r="N110" s="35" t="s">
        <v>1002</v>
      </c>
      <c r="O110" s="22" t="s">
        <v>1271</v>
      </c>
      <c r="P110" s="22" t="s">
        <v>1272</v>
      </c>
      <c r="Q110" s="22" t="s">
        <v>1273</v>
      </c>
      <c r="R110" s="22" t="s">
        <v>1274</v>
      </c>
      <c r="S110" s="26" t="n">
        <f aca="false">Mulai!G6</f>
        <v>55</v>
      </c>
      <c r="T110" s="22" t="s">
        <v>1275</v>
      </c>
    </row>
    <row r="111" customFormat="false" ht="150" hidden="false" customHeight="true" outlineLevel="0" collapsed="false">
      <c r="A111" s="26" t="n">
        <v>106</v>
      </c>
      <c r="B111" s="26" t="n">
        <v>4</v>
      </c>
      <c r="C111" s="22" t="s">
        <v>224</v>
      </c>
      <c r="D111" s="22" t="s">
        <v>174</v>
      </c>
      <c r="E111" s="22" t="s">
        <v>1276</v>
      </c>
      <c r="F111" s="22" t="s">
        <v>1174</v>
      </c>
      <c r="G111" s="22" t="str">
        <f aca="false">'Kamus Materi'!C54</f>
        <v>To + kata kerja dasar dapat menjelaskan tujuan, yaitu untuk melakukan sesuatu. Bedakan dari to sebagai preposition di pola lain.</v>
      </c>
      <c r="H111" s="22" t="str">
        <f aca="false">'Kamus Materi'!D54</f>
        <v>I study English to read documentation. = Saya belajar Inggris untuk membaca dokumentasi.</v>
      </c>
      <c r="I111" s="22" t="s">
        <v>1277</v>
      </c>
      <c r="J111" s="22" t="s">
        <v>605</v>
      </c>
      <c r="K111" s="35" t="s">
        <v>606</v>
      </c>
      <c r="L111" s="22" t="s">
        <v>1278</v>
      </c>
      <c r="M111" s="22" t="s">
        <v>1179</v>
      </c>
      <c r="N111" s="35" t="s">
        <v>1180</v>
      </c>
      <c r="O111" s="22" t="s">
        <v>1279</v>
      </c>
      <c r="P111" s="22" t="s">
        <v>1280</v>
      </c>
      <c r="Q111" s="22" t="s">
        <v>1281</v>
      </c>
      <c r="R111" s="22" t="s">
        <v>1282</v>
      </c>
      <c r="S111" s="26" t="n">
        <f aca="false">Mulai!G6</f>
        <v>55</v>
      </c>
      <c r="T111" s="22" t="s">
        <v>1283</v>
      </c>
    </row>
    <row r="112" customFormat="false" ht="150" hidden="false" customHeight="true" outlineLevel="0" collapsed="false">
      <c r="A112" s="26" t="n">
        <v>107</v>
      </c>
      <c r="B112" s="26" t="n">
        <v>4</v>
      </c>
      <c r="C112" s="22" t="s">
        <v>224</v>
      </c>
      <c r="D112" s="22" t="s">
        <v>175</v>
      </c>
      <c r="E112" s="22" t="s">
        <v>1284</v>
      </c>
      <c r="F112" s="22" t="s">
        <v>1285</v>
      </c>
      <c r="G112" s="22" t="str">
        <f aca="false">'Kamus Materi'!C57</f>
        <v>Listening melatih pemahaman ujaran. Dictation adalah menuliskan yang didengar lalu membandingkan dengan transkrip. Tidak harus memahami semua kata sekaligus.</v>
      </c>
      <c r="H112" s="22" t="str">
        <f aca="false">'Kamus Materi'!D57</f>
        <v>Dengar satu kalimat pendek, tulis, lalu cek kata yang terlewat.</v>
      </c>
      <c r="I112" s="22" t="s">
        <v>1286</v>
      </c>
      <c r="J112" s="22" t="s">
        <v>1253</v>
      </c>
      <c r="K112" s="35" t="s">
        <v>1254</v>
      </c>
      <c r="L112" s="22" t="s">
        <v>1287</v>
      </c>
      <c r="M112" s="22" t="s">
        <v>1253</v>
      </c>
      <c r="N112" s="35" t="s">
        <v>1254</v>
      </c>
      <c r="O112" s="22" t="s">
        <v>1288</v>
      </c>
      <c r="P112" s="22" t="s">
        <v>1289</v>
      </c>
      <c r="Q112" s="22" t="s">
        <v>1290</v>
      </c>
      <c r="R112" s="22" t="s">
        <v>1291</v>
      </c>
      <c r="S112" s="26" t="n">
        <f aca="false">Mulai!G6</f>
        <v>55</v>
      </c>
      <c r="T112" s="22" t="s">
        <v>1292</v>
      </c>
    </row>
    <row r="113" customFormat="false" ht="150" hidden="false" customHeight="true" outlineLevel="0" collapsed="false">
      <c r="A113" s="26" t="n">
        <v>108</v>
      </c>
      <c r="B113" s="26" t="n">
        <v>4</v>
      </c>
      <c r="C113" s="22" t="s">
        <v>224</v>
      </c>
      <c r="D113" s="22" t="s">
        <v>176</v>
      </c>
      <c r="E113" s="22" t="s">
        <v>1293</v>
      </c>
      <c r="F113" s="22" t="s">
        <v>1285</v>
      </c>
      <c r="G113" s="22" t="str">
        <f aca="false">'Kamus Materi'!C57</f>
        <v>Listening melatih pemahaman ujaran. Dictation adalah menuliskan yang didengar lalu membandingkan dengan transkrip. Tidak harus memahami semua kata sekaligus.</v>
      </c>
      <c r="H113" s="22" t="str">
        <f aca="false">'Kamus Materi'!D57</f>
        <v>Dengar satu kalimat pendek, tulis, lalu cek kata yang terlewat.</v>
      </c>
      <c r="I113" s="22" t="s">
        <v>1294</v>
      </c>
      <c r="J113" s="22" t="s">
        <v>1295</v>
      </c>
      <c r="K113" s="35" t="s">
        <v>1296</v>
      </c>
      <c r="L113" s="22" t="s">
        <v>1297</v>
      </c>
      <c r="M113" s="22" t="s">
        <v>1295</v>
      </c>
      <c r="N113" s="35" t="s">
        <v>1296</v>
      </c>
      <c r="O113" s="22" t="s">
        <v>1298</v>
      </c>
      <c r="P113" s="22" t="s">
        <v>1299</v>
      </c>
      <c r="Q113" s="22" t="s">
        <v>1300</v>
      </c>
      <c r="R113" s="22" t="s">
        <v>1301</v>
      </c>
      <c r="S113" s="26" t="n">
        <f aca="false">Mulai!G6</f>
        <v>55</v>
      </c>
      <c r="T113" s="22" t="s">
        <v>1302</v>
      </c>
    </row>
    <row r="114" customFormat="false" ht="150" hidden="false" customHeight="true" outlineLevel="0" collapsed="false">
      <c r="A114" s="26" t="n">
        <v>109</v>
      </c>
      <c r="B114" s="26" t="n">
        <v>4</v>
      </c>
      <c r="C114" s="22" t="s">
        <v>224</v>
      </c>
      <c r="D114" s="22" t="s">
        <v>177</v>
      </c>
      <c r="E114" s="22" t="s">
        <v>1303</v>
      </c>
      <c r="F114" s="22" t="s">
        <v>810</v>
      </c>
      <c r="G114" s="22" t="str">
        <f aca="false">'Kamus Materi'!C58</f>
        <v>Shadowing ialah menirukan ujaran segera setelah pembicara. Intelligibility berarti ucapan dapat dipahami; tidak perlu meniru aksen secara sempurna.</v>
      </c>
      <c r="H114" s="22" t="str">
        <f aca="false">'Kamus Materi'!D58</f>
        <v>Putar satu kalimat → jeda → tirukan → rekam → bandingkan.</v>
      </c>
      <c r="I114" s="22" t="s">
        <v>1304</v>
      </c>
      <c r="J114" s="22" t="s">
        <v>239</v>
      </c>
      <c r="K114" s="35" t="s">
        <v>240</v>
      </c>
      <c r="L114" s="22" t="s">
        <v>1305</v>
      </c>
      <c r="M114" s="22" t="s">
        <v>239</v>
      </c>
      <c r="N114" s="35" t="s">
        <v>240</v>
      </c>
      <c r="O114" s="22" t="s">
        <v>1306</v>
      </c>
      <c r="P114" s="22" t="s">
        <v>1307</v>
      </c>
      <c r="Q114" s="22" t="s">
        <v>1308</v>
      </c>
      <c r="R114" s="22" t="s">
        <v>1309</v>
      </c>
      <c r="S114" s="26" t="n">
        <f aca="false">Mulai!G6</f>
        <v>55</v>
      </c>
      <c r="T114" s="22" t="s">
        <v>1310</v>
      </c>
    </row>
    <row r="115" customFormat="false" ht="150" hidden="false" customHeight="true" outlineLevel="0" collapsed="false">
      <c r="A115" s="26" t="n">
        <v>110</v>
      </c>
      <c r="B115" s="26" t="n">
        <v>4</v>
      </c>
      <c r="C115" s="22" t="s">
        <v>224</v>
      </c>
      <c r="D115" s="22" t="s">
        <v>178</v>
      </c>
      <c r="E115" s="22" t="s">
        <v>1311</v>
      </c>
      <c r="F115" s="22" t="s">
        <v>1215</v>
      </c>
      <c r="G115" s="22" t="str">
        <f aca="false">'Kamus Materi'!C61</f>
        <v>Profil profesional merangkum peran, keterampilan, dan pengalaman relevan. Pilih informasi benar; bedakan kemampuan nyata dari target belajar.</v>
      </c>
      <c r="H115" s="22" t="str">
        <f aca="false">'Kamus Materi'!D61</f>
        <v>I build websites with React. = Saya membuat situs web menggunakan React.</v>
      </c>
      <c r="I115" s="22" t="s">
        <v>1312</v>
      </c>
      <c r="J115" s="22" t="s">
        <v>1217</v>
      </c>
      <c r="K115" s="35" t="s">
        <v>1218</v>
      </c>
      <c r="L115" s="22" t="s">
        <v>1313</v>
      </c>
      <c r="M115" s="22" t="s">
        <v>1253</v>
      </c>
      <c r="N115" s="35" t="s">
        <v>1254</v>
      </c>
      <c r="O115" s="22" t="s">
        <v>1314</v>
      </c>
      <c r="P115" s="22" t="s">
        <v>1315</v>
      </c>
      <c r="Q115" s="22" t="s">
        <v>1316</v>
      </c>
      <c r="R115" s="22" t="s">
        <v>1317</v>
      </c>
      <c r="S115" s="26" t="n">
        <f aca="false">Mulai!G6</f>
        <v>55</v>
      </c>
      <c r="T115" s="22" t="s">
        <v>1318</v>
      </c>
    </row>
    <row r="116" customFormat="false" ht="150" hidden="false" customHeight="true" outlineLevel="0" collapsed="false">
      <c r="A116" s="26" t="n">
        <v>111</v>
      </c>
      <c r="B116" s="26" t="n">
        <v>4</v>
      </c>
      <c r="C116" s="22" t="s">
        <v>289</v>
      </c>
      <c r="D116" s="22" t="s">
        <v>179</v>
      </c>
      <c r="E116" s="22" t="s">
        <v>1319</v>
      </c>
      <c r="F116" s="22" t="s">
        <v>291</v>
      </c>
      <c r="G116" s="22" t="str">
        <f aca="false">'Kamus Materi'!C59</f>
        <v>Active recall berarti mencoba mengingat tanpa melihat catatan. Spaced review adalah mengulang materi pada jeda berbeda; ulangi kesalahan lebih sering.</v>
      </c>
      <c r="H116" s="22" t="str">
        <f aca="false">'Kamus Materi'!D59</f>
        <v>Tutup catatan, sebutkan lima kata kemarin, kemudian periksa jawabannya.</v>
      </c>
      <c r="I116" s="22" t="s">
        <v>1320</v>
      </c>
      <c r="J116" s="22" t="s">
        <v>1217</v>
      </c>
      <c r="K116" s="35" t="s">
        <v>1218</v>
      </c>
      <c r="L116" s="22" t="s">
        <v>1321</v>
      </c>
      <c r="M116" s="22" t="s">
        <v>1253</v>
      </c>
      <c r="N116" s="35" t="s">
        <v>1254</v>
      </c>
      <c r="O116" s="22" t="s">
        <v>1322</v>
      </c>
      <c r="P116" s="22" t="s">
        <v>1323</v>
      </c>
      <c r="Q116" s="22" t="s">
        <v>1324</v>
      </c>
      <c r="R116" s="22" t="s">
        <v>1325</v>
      </c>
      <c r="S116" s="26" t="n">
        <f aca="false">Mulai!G6</f>
        <v>55</v>
      </c>
      <c r="T116" s="22" t="s">
        <v>1326</v>
      </c>
    </row>
    <row r="117" customFormat="false" ht="150" hidden="false" customHeight="true" outlineLevel="0" collapsed="false">
      <c r="A117" s="26" t="n">
        <v>112</v>
      </c>
      <c r="B117" s="26" t="n">
        <v>4</v>
      </c>
      <c r="C117" s="22" t="s">
        <v>224</v>
      </c>
      <c r="D117" s="22" t="s">
        <v>180</v>
      </c>
      <c r="E117" s="22" t="s">
        <v>1327</v>
      </c>
      <c r="F117" s="22" t="s">
        <v>781</v>
      </c>
      <c r="G117" s="22" t="str">
        <f aca="false">'Kamus Materi'!C56</f>
        <v>Gist adalah gagasan umum; scanning mencari informasi tertentu; detail adalah fakta spesifik. Baca untuk tujuan tertentu sebelum menerjemahkan kata satu per satu.</v>
      </c>
      <c r="H117" s="22" t="str">
        <f aca="false">'Kamus Materi'!D56</f>
        <v>Gist: teks tentang pekerjaan. Detail: wawancara hari Senin pukul 10.</v>
      </c>
      <c r="I117" s="22" t="s">
        <v>1328</v>
      </c>
      <c r="J117" s="22" t="s">
        <v>1329</v>
      </c>
      <c r="K117" s="35" t="s">
        <v>1330</v>
      </c>
      <c r="L117" s="22" t="s">
        <v>1331</v>
      </c>
      <c r="M117" s="22" t="s">
        <v>1166</v>
      </c>
      <c r="N117" s="35" t="s">
        <v>1167</v>
      </c>
      <c r="O117" s="22" t="s">
        <v>1332</v>
      </c>
      <c r="P117" s="22" t="s">
        <v>1333</v>
      </c>
      <c r="Q117" s="22" t="s">
        <v>1334</v>
      </c>
      <c r="R117" s="22" t="s">
        <v>1335</v>
      </c>
      <c r="S117" s="26" t="n">
        <f aca="false">Mulai!G6</f>
        <v>55</v>
      </c>
      <c r="T117" s="22" t="s">
        <v>1336</v>
      </c>
    </row>
    <row r="118" customFormat="false" ht="150" hidden="false" customHeight="true" outlineLevel="0" collapsed="false">
      <c r="A118" s="26" t="n">
        <v>113</v>
      </c>
      <c r="B118" s="26" t="n">
        <v>4</v>
      </c>
      <c r="C118" s="22" t="s">
        <v>1337</v>
      </c>
      <c r="D118" s="22" t="s">
        <v>181</v>
      </c>
      <c r="E118" s="22" t="s">
        <v>1338</v>
      </c>
      <c r="F118" s="22" t="s">
        <v>291</v>
      </c>
      <c r="G118" s="22" t="str">
        <f aca="false">'Kamus Materi'!C59</f>
        <v>Active recall berarti mencoba mengingat tanpa melihat catatan. Spaced review adalah mengulang materi pada jeda berbeda; ulangi kesalahan lebih sering.</v>
      </c>
      <c r="H118" s="22" t="str">
        <f aca="false">'Kamus Materi'!D59</f>
        <v>Tutup catatan, sebutkan lima kata kemarin, kemudian periksa jawabannya.</v>
      </c>
      <c r="I118" s="22" t="s">
        <v>1339</v>
      </c>
      <c r="J118" s="22" t="s">
        <v>1340</v>
      </c>
      <c r="K118" s="35" t="s">
        <v>1341</v>
      </c>
      <c r="L118" s="22" t="s">
        <v>1342</v>
      </c>
      <c r="M118" s="22" t="s">
        <v>1166</v>
      </c>
      <c r="N118" s="35" t="s">
        <v>1167</v>
      </c>
      <c r="O118" s="22" t="s">
        <v>1343</v>
      </c>
      <c r="P118" s="22" t="s">
        <v>1344</v>
      </c>
      <c r="Q118" s="22" t="s">
        <v>1345</v>
      </c>
      <c r="R118" s="22" t="s">
        <v>1346</v>
      </c>
      <c r="S118" s="26" t="n">
        <f aca="false">Mulai!G6</f>
        <v>55</v>
      </c>
      <c r="T118" s="22" t="s">
        <v>1347</v>
      </c>
    </row>
    <row r="119" customFormat="false" ht="150" hidden="false" customHeight="true" outlineLevel="0" collapsed="false">
      <c r="A119" s="26" t="n">
        <v>114</v>
      </c>
      <c r="B119" s="26" t="n">
        <v>4</v>
      </c>
      <c r="C119" s="22" t="s">
        <v>224</v>
      </c>
      <c r="D119" s="22" t="s">
        <v>182</v>
      </c>
      <c r="E119" s="22" t="s">
        <v>1348</v>
      </c>
      <c r="F119" s="22" t="s">
        <v>1215</v>
      </c>
      <c r="G119" s="22" t="str">
        <f aca="false">'Kamus Materi'!C61</f>
        <v>Profil profesional merangkum peran, keterampilan, dan pengalaman relevan. Pilih informasi benar; bedakan kemampuan nyata dari target belajar.</v>
      </c>
      <c r="H119" s="22" t="str">
        <f aca="false">'Kamus Materi'!D61</f>
        <v>I build websites with React. = Saya membuat situs web menggunakan React.</v>
      </c>
      <c r="I119" s="22" t="s">
        <v>1349</v>
      </c>
      <c r="J119" s="22" t="s">
        <v>1206</v>
      </c>
      <c r="K119" s="35" t="s">
        <v>1207</v>
      </c>
      <c r="L119" s="22" t="s">
        <v>1350</v>
      </c>
      <c r="M119" s="22" t="s">
        <v>563</v>
      </c>
      <c r="N119" s="35" t="s">
        <v>564</v>
      </c>
      <c r="O119" s="22" t="s">
        <v>1351</v>
      </c>
      <c r="P119" s="22" t="s">
        <v>1352</v>
      </c>
      <c r="Q119" s="22" t="s">
        <v>1353</v>
      </c>
      <c r="R119" s="22" t="s">
        <v>1354</v>
      </c>
      <c r="S119" s="26" t="n">
        <f aca="false">Mulai!G6</f>
        <v>55</v>
      </c>
      <c r="T119" s="22" t="s">
        <v>1355</v>
      </c>
    </row>
    <row r="120" customFormat="false" ht="150" hidden="false" customHeight="true" outlineLevel="0" collapsed="false">
      <c r="A120" s="26" t="n">
        <v>115</v>
      </c>
      <c r="B120" s="26" t="n">
        <v>4</v>
      </c>
      <c r="C120" s="22" t="s">
        <v>224</v>
      </c>
      <c r="D120" s="22" t="s">
        <v>183</v>
      </c>
      <c r="E120" s="22" t="s">
        <v>1356</v>
      </c>
      <c r="F120" s="22" t="s">
        <v>527</v>
      </c>
      <c r="G120" s="22" t="str">
        <f aca="false">'Kamus Materi'!C60</f>
        <v>Pesan efektif menyebut tujuan, detail penting, dan tindakan yang diharapkan. Email lebih formal dapat memakai sapaan dan penutup yang sopan.</v>
      </c>
      <c r="H120" s="22" t="str">
        <f aca="false">'Kamus Materi'!D60</f>
        <v>Hi Ana, could you check the page? Thank you. = Hai Ana, bisa cek halamannya? Terima kasih.</v>
      </c>
      <c r="I120" s="22" t="s">
        <v>1357</v>
      </c>
      <c r="J120" s="22" t="s">
        <v>592</v>
      </c>
      <c r="K120" s="35" t="s">
        <v>593</v>
      </c>
      <c r="L120" s="22" t="s">
        <v>1358</v>
      </c>
      <c r="M120" s="22" t="s">
        <v>582</v>
      </c>
      <c r="N120" s="35" t="s">
        <v>583</v>
      </c>
      <c r="O120" s="22" t="s">
        <v>1359</v>
      </c>
      <c r="P120" s="22" t="s">
        <v>1360</v>
      </c>
      <c r="Q120" s="22" t="s">
        <v>1361</v>
      </c>
      <c r="R120" s="22" t="s">
        <v>1362</v>
      </c>
      <c r="S120" s="26" t="n">
        <f aca="false">Mulai!G6</f>
        <v>55</v>
      </c>
      <c r="T120" s="22" t="s">
        <v>1363</v>
      </c>
    </row>
    <row r="121" customFormat="false" ht="150" hidden="false" customHeight="true" outlineLevel="0" collapsed="false">
      <c r="A121" s="26" t="n">
        <v>116</v>
      </c>
      <c r="B121" s="26" t="n">
        <v>4</v>
      </c>
      <c r="C121" s="22" t="s">
        <v>224</v>
      </c>
      <c r="D121" s="22" t="s">
        <v>184</v>
      </c>
      <c r="E121" s="22" t="s">
        <v>1364</v>
      </c>
      <c r="F121" s="22" t="s">
        <v>781</v>
      </c>
      <c r="G121" s="22" t="str">
        <f aca="false">'Kamus Materi'!C56</f>
        <v>Gist adalah gagasan umum; scanning mencari informasi tertentu; detail adalah fakta spesifik. Baca untuk tujuan tertentu sebelum menerjemahkan kata satu per satu.</v>
      </c>
      <c r="H121" s="22" t="str">
        <f aca="false">'Kamus Materi'!D56</f>
        <v>Gist: teks tentang pekerjaan. Detail: wawancara hari Senin pukul 10.</v>
      </c>
      <c r="I121" s="22" t="s">
        <v>1365</v>
      </c>
      <c r="J121" s="22" t="s">
        <v>1188</v>
      </c>
      <c r="K121" s="35" t="s">
        <v>1189</v>
      </c>
      <c r="L121" s="22" t="s">
        <v>1366</v>
      </c>
      <c r="M121" s="22" t="s">
        <v>1367</v>
      </c>
      <c r="N121" s="35" t="s">
        <v>1368</v>
      </c>
      <c r="O121" s="22" t="s">
        <v>1369</v>
      </c>
      <c r="P121" s="22" t="s">
        <v>1370</v>
      </c>
      <c r="Q121" s="22" t="s">
        <v>1371</v>
      </c>
      <c r="R121" s="22" t="s">
        <v>1372</v>
      </c>
      <c r="S121" s="26" t="n">
        <f aca="false">Mulai!G6</f>
        <v>55</v>
      </c>
      <c r="T121" s="22" t="s">
        <v>1373</v>
      </c>
    </row>
    <row r="122" customFormat="false" ht="150" hidden="false" customHeight="true" outlineLevel="0" collapsed="false">
      <c r="A122" s="26" t="n">
        <v>117</v>
      </c>
      <c r="B122" s="26" t="n">
        <v>4</v>
      </c>
      <c r="C122" s="22" t="s">
        <v>224</v>
      </c>
      <c r="D122" s="22" t="s">
        <v>185</v>
      </c>
      <c r="E122" s="22" t="s">
        <v>1374</v>
      </c>
      <c r="F122" s="22" t="s">
        <v>1215</v>
      </c>
      <c r="G122" s="22" t="str">
        <f aca="false">'Kamus Materi'!C61</f>
        <v>Profil profesional merangkum peran, keterampilan, dan pengalaman relevan. Pilih informasi benar; bedakan kemampuan nyata dari target belajar.</v>
      </c>
      <c r="H122" s="22" t="str">
        <f aca="false">'Kamus Materi'!D61</f>
        <v>I build websites with React. = Saya membuat situs web menggunakan React.</v>
      </c>
      <c r="I122" s="22" t="s">
        <v>1375</v>
      </c>
      <c r="J122" s="22" t="s">
        <v>1217</v>
      </c>
      <c r="K122" s="35" t="s">
        <v>1218</v>
      </c>
      <c r="L122" s="22" t="s">
        <v>1376</v>
      </c>
      <c r="M122" s="22" t="s">
        <v>1117</v>
      </c>
      <c r="N122" s="35" t="s">
        <v>1118</v>
      </c>
      <c r="O122" s="22" t="s">
        <v>1377</v>
      </c>
      <c r="P122" s="22" t="s">
        <v>1378</v>
      </c>
      <c r="Q122" s="22" t="s">
        <v>1379</v>
      </c>
      <c r="R122" s="22" t="s">
        <v>1380</v>
      </c>
      <c r="S122" s="26" t="n">
        <f aca="false">Mulai!G6</f>
        <v>55</v>
      </c>
      <c r="T122" s="22" t="s">
        <v>1381</v>
      </c>
    </row>
    <row r="123" customFormat="false" ht="150" hidden="false" customHeight="true" outlineLevel="0" collapsed="false">
      <c r="A123" s="26" t="n">
        <v>118</v>
      </c>
      <c r="B123" s="26" t="n">
        <v>4</v>
      </c>
      <c r="C123" s="22" t="s">
        <v>289</v>
      </c>
      <c r="D123" s="22" t="s">
        <v>186</v>
      </c>
      <c r="E123" s="22" t="s">
        <v>1382</v>
      </c>
      <c r="F123" s="22" t="s">
        <v>291</v>
      </c>
      <c r="G123" s="22" t="str">
        <f aca="false">'Kamus Materi'!C59</f>
        <v>Active recall berarti mencoba mengingat tanpa melihat catatan. Spaced review adalah mengulang materi pada jeda berbeda; ulangi kesalahan lebih sering.</v>
      </c>
      <c r="H123" s="22" t="str">
        <f aca="false">'Kamus Materi'!D59</f>
        <v>Tutup catatan, sebutkan lima kata kemarin, kemudian periksa jawabannya.</v>
      </c>
      <c r="I123" s="22" t="s">
        <v>1383</v>
      </c>
      <c r="J123" s="22" t="s">
        <v>461</v>
      </c>
      <c r="K123" s="35" t="s">
        <v>462</v>
      </c>
      <c r="L123" s="22" t="s">
        <v>1384</v>
      </c>
      <c r="M123" s="22" t="s">
        <v>239</v>
      </c>
      <c r="N123" s="35" t="s">
        <v>240</v>
      </c>
      <c r="O123" s="22" t="s">
        <v>1385</v>
      </c>
      <c r="P123" s="22" t="s">
        <v>1386</v>
      </c>
      <c r="Q123" s="22" t="s">
        <v>1387</v>
      </c>
      <c r="R123" s="22" t="s">
        <v>1388</v>
      </c>
      <c r="S123" s="26" t="n">
        <f aca="false">Mulai!G6</f>
        <v>55</v>
      </c>
      <c r="T123" s="22" t="s">
        <v>1389</v>
      </c>
    </row>
    <row r="124" customFormat="false" ht="150" hidden="false" customHeight="true" outlineLevel="0" collapsed="false">
      <c r="A124" s="26" t="n">
        <v>119</v>
      </c>
      <c r="B124" s="26" t="n">
        <v>4</v>
      </c>
      <c r="C124" s="22" t="s">
        <v>224</v>
      </c>
      <c r="D124" s="22" t="s">
        <v>187</v>
      </c>
      <c r="E124" s="22" t="s">
        <v>1390</v>
      </c>
      <c r="F124" s="22" t="s">
        <v>1215</v>
      </c>
      <c r="G124" s="22" t="str">
        <f aca="false">'Kamus Materi'!C61</f>
        <v>Profil profesional merangkum peran, keterampilan, dan pengalaman relevan. Pilih informasi benar; bedakan kemampuan nyata dari target belajar.</v>
      </c>
      <c r="H124" s="22" t="str">
        <f aca="false">'Kamus Materi'!D61</f>
        <v>I build websites with React. = Saya membuat situs web menggunakan React.</v>
      </c>
      <c r="I124" s="22" t="s">
        <v>1391</v>
      </c>
      <c r="J124" s="22" t="s">
        <v>1217</v>
      </c>
      <c r="K124" s="35" t="s">
        <v>1218</v>
      </c>
      <c r="L124" s="22" t="s">
        <v>1392</v>
      </c>
      <c r="M124" s="22" t="s">
        <v>1253</v>
      </c>
      <c r="N124" s="35" t="s">
        <v>1254</v>
      </c>
      <c r="O124" s="22" t="s">
        <v>1393</v>
      </c>
      <c r="P124" s="22" t="s">
        <v>1394</v>
      </c>
      <c r="Q124" s="22" t="s">
        <v>1395</v>
      </c>
      <c r="R124" s="22" t="s">
        <v>1396</v>
      </c>
      <c r="S124" s="26" t="n">
        <f aca="false">Mulai!G6</f>
        <v>55</v>
      </c>
      <c r="T124" s="22" t="s">
        <v>1397</v>
      </c>
    </row>
    <row r="125" customFormat="false" ht="150" hidden="false" customHeight="true" outlineLevel="0" collapsed="false">
      <c r="A125" s="26" t="n">
        <v>120</v>
      </c>
      <c r="B125" s="26" t="n">
        <v>4</v>
      </c>
      <c r="C125" s="22" t="s">
        <v>289</v>
      </c>
      <c r="D125" s="22" t="s">
        <v>188</v>
      </c>
      <c r="E125" s="22" t="s">
        <v>1398</v>
      </c>
      <c r="F125" s="22" t="s">
        <v>540</v>
      </c>
      <c r="G125" s="22" t="str">
        <f aca="false">'Kamus Materi'!C63</f>
        <v>Rubrik adalah kriteria penilaian yang sama dari waktu ke waktu. Nilai latihan ini hanya alat belajar, bukan skor TOEFL atau sertifikasi CEFR.</v>
      </c>
      <c r="H125" s="22" t="str">
        <f aca="false">'Kamus Materi'!D63</f>
        <v>Bandingkan rekaman awal dan akhir: apakah pesan lebih lengkap dan mudah dipahami?</v>
      </c>
      <c r="I125" s="22" t="s">
        <v>1399</v>
      </c>
      <c r="J125" s="22" t="s">
        <v>1400</v>
      </c>
      <c r="K125" s="35" t="s">
        <v>1401</v>
      </c>
      <c r="L125" s="22" t="s">
        <v>1402</v>
      </c>
      <c r="M125" s="22" t="s">
        <v>228</v>
      </c>
      <c r="N125" s="35" t="s">
        <v>229</v>
      </c>
      <c r="O125" s="22" t="s">
        <v>1403</v>
      </c>
      <c r="P125" s="22" t="s">
        <v>1404</v>
      </c>
      <c r="Q125" s="22" t="s">
        <v>1405</v>
      </c>
      <c r="R125" s="22" t="s">
        <v>1406</v>
      </c>
      <c r="S125" s="26" t="n">
        <f aca="false">Mulai!G6</f>
        <v>55</v>
      </c>
      <c r="T125" s="22" t="s">
        <v>1407</v>
      </c>
    </row>
  </sheetData>
  <mergeCells count="2">
    <mergeCell ref="A1:T2"/>
    <mergeCell ref="A3:T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4"/>
    <col collapsed="false" customWidth="true" hidden="false" outlineLevel="0" max="3" min="3" style="0" width="66"/>
    <col collapsed="false" customWidth="true" hidden="false" outlineLevel="0" max="4" min="4" style="0" width="63"/>
    <col collapsed="false" customWidth="true" hidden="false" outlineLevel="0" max="5" min="5" style="0" width="68"/>
    <col collapsed="false" customWidth="true" hidden="false" outlineLevel="0" max="6" min="6" style="0" width="19"/>
  </cols>
  <sheetData>
    <row r="1" customFormat="false" ht="25" hidden="false" customHeight="true" outlineLevel="0" collapsed="false">
      <c r="A1" s="1" t="s">
        <v>1408</v>
      </c>
      <c r="B1" s="1"/>
      <c r="C1" s="1"/>
      <c r="D1" s="1"/>
      <c r="E1" s="1"/>
      <c r="F1" s="1"/>
    </row>
    <row r="2" customFormat="false" ht="25" hidden="false" customHeight="true" outlineLevel="0" collapsed="false">
      <c r="A2" s="1"/>
      <c r="B2" s="1"/>
      <c r="C2" s="1"/>
      <c r="D2" s="1"/>
      <c r="E2" s="1"/>
      <c r="F2" s="1"/>
    </row>
    <row r="3" customFormat="false" ht="32" hidden="false" customHeight="true" outlineLevel="0" collapsed="false">
      <c r="A3" s="2" t="s">
        <v>1409</v>
      </c>
      <c r="B3" s="2"/>
      <c r="C3" s="2"/>
      <c r="D3" s="2"/>
      <c r="E3" s="2"/>
      <c r="F3" s="2"/>
    </row>
    <row r="4" customFormat="false" ht="26" hidden="false" customHeight="true" outlineLevel="0" collapsed="false">
      <c r="A4" s="3"/>
      <c r="B4" s="3"/>
      <c r="C4" s="3"/>
      <c r="D4" s="3"/>
      <c r="E4" s="3"/>
      <c r="F4" s="3"/>
    </row>
    <row r="5" customFormat="false" ht="35" hidden="false" customHeight="true" outlineLevel="0" collapsed="false">
      <c r="A5" s="14" t="s">
        <v>212</v>
      </c>
      <c r="B5" s="14" t="s">
        <v>1410</v>
      </c>
      <c r="C5" s="14" t="s">
        <v>1411</v>
      </c>
      <c r="D5" s="14" t="s">
        <v>1412</v>
      </c>
      <c r="E5" s="14" t="s">
        <v>1413</v>
      </c>
      <c r="F5" s="14" t="s">
        <v>1414</v>
      </c>
    </row>
    <row r="6" customFormat="false" ht="108" hidden="false" customHeight="true" outlineLevel="0" collapsed="false">
      <c r="A6" s="22" t="s">
        <v>226</v>
      </c>
      <c r="B6" s="22" t="s">
        <v>1415</v>
      </c>
      <c r="C6" s="22" t="s">
        <v>1416</v>
      </c>
      <c r="D6" s="22" t="s">
        <v>1417</v>
      </c>
      <c r="E6" s="35" t="s">
        <v>229</v>
      </c>
      <c r="F6" s="22" t="s">
        <v>1418</v>
      </c>
    </row>
    <row r="7" customFormat="false" ht="108" hidden="false" customHeight="true" outlineLevel="0" collapsed="false">
      <c r="A7" s="22" t="s">
        <v>237</v>
      </c>
      <c r="B7" s="22" t="s">
        <v>1419</v>
      </c>
      <c r="C7" s="22" t="s">
        <v>1420</v>
      </c>
      <c r="D7" s="22" t="s">
        <v>1421</v>
      </c>
      <c r="E7" s="35" t="s">
        <v>240</v>
      </c>
      <c r="F7" s="22" t="s">
        <v>1418</v>
      </c>
    </row>
    <row r="8" customFormat="false" ht="108" hidden="false" customHeight="true" outlineLevel="0" collapsed="false">
      <c r="A8" s="22" t="s">
        <v>248</v>
      </c>
      <c r="B8" s="22" t="s">
        <v>1422</v>
      </c>
      <c r="C8" s="22" t="s">
        <v>1423</v>
      </c>
      <c r="D8" s="22" t="s">
        <v>1424</v>
      </c>
      <c r="E8" s="35" t="s">
        <v>251</v>
      </c>
      <c r="F8" s="22" t="s">
        <v>1418</v>
      </c>
    </row>
    <row r="9" customFormat="false" ht="108" hidden="false" customHeight="true" outlineLevel="0" collapsed="false">
      <c r="A9" s="22" t="s">
        <v>259</v>
      </c>
      <c r="B9" s="22" t="s">
        <v>1425</v>
      </c>
      <c r="C9" s="22" t="s">
        <v>1426</v>
      </c>
      <c r="D9" s="22" t="s">
        <v>1427</v>
      </c>
      <c r="E9" s="35" t="s">
        <v>262</v>
      </c>
      <c r="F9" s="22" t="s">
        <v>1418</v>
      </c>
    </row>
    <row r="10" customFormat="false" ht="108" hidden="false" customHeight="true" outlineLevel="0" collapsed="false">
      <c r="A10" s="22" t="s">
        <v>272</v>
      </c>
      <c r="B10" s="22" t="s">
        <v>1428</v>
      </c>
      <c r="C10" s="22" t="s">
        <v>1429</v>
      </c>
      <c r="D10" s="22" t="s">
        <v>1430</v>
      </c>
      <c r="E10" s="35" t="s">
        <v>262</v>
      </c>
      <c r="F10" s="22" t="s">
        <v>1418</v>
      </c>
    </row>
    <row r="11" customFormat="false" ht="108" hidden="false" customHeight="true" outlineLevel="0" collapsed="false">
      <c r="A11" s="22" t="s">
        <v>281</v>
      </c>
      <c r="B11" s="22" t="s">
        <v>1431</v>
      </c>
      <c r="C11" s="22" t="s">
        <v>1432</v>
      </c>
      <c r="D11" s="22" t="s">
        <v>1433</v>
      </c>
      <c r="E11" s="35" t="s">
        <v>262</v>
      </c>
      <c r="F11" s="22" t="s">
        <v>1418</v>
      </c>
    </row>
    <row r="12" customFormat="false" ht="108" hidden="false" customHeight="true" outlineLevel="0" collapsed="false">
      <c r="A12" s="22" t="s">
        <v>300</v>
      </c>
      <c r="B12" s="22" t="s">
        <v>1434</v>
      </c>
      <c r="C12" s="22" t="s">
        <v>1435</v>
      </c>
      <c r="D12" s="22" t="s">
        <v>1436</v>
      </c>
      <c r="E12" s="35" t="s">
        <v>303</v>
      </c>
      <c r="F12" s="22" t="s">
        <v>1418</v>
      </c>
    </row>
    <row r="13" customFormat="false" ht="108" hidden="false" customHeight="true" outlineLevel="0" collapsed="false">
      <c r="A13" s="22" t="s">
        <v>313</v>
      </c>
      <c r="B13" s="22" t="s">
        <v>1437</v>
      </c>
      <c r="C13" s="22" t="s">
        <v>1438</v>
      </c>
      <c r="D13" s="22" t="s">
        <v>1439</v>
      </c>
      <c r="E13" s="35" t="s">
        <v>251</v>
      </c>
      <c r="F13" s="22" t="s">
        <v>1418</v>
      </c>
    </row>
    <row r="14" customFormat="false" ht="108" hidden="false" customHeight="true" outlineLevel="0" collapsed="false">
      <c r="A14" s="22" t="s">
        <v>324</v>
      </c>
      <c r="B14" s="22" t="s">
        <v>1440</v>
      </c>
      <c r="C14" s="22" t="s">
        <v>1441</v>
      </c>
      <c r="D14" s="22" t="s">
        <v>1442</v>
      </c>
      <c r="E14" s="35" t="s">
        <v>327</v>
      </c>
      <c r="F14" s="22" t="s">
        <v>1418</v>
      </c>
    </row>
    <row r="15" customFormat="false" ht="108" hidden="false" customHeight="true" outlineLevel="0" collapsed="false">
      <c r="A15" s="22" t="s">
        <v>335</v>
      </c>
      <c r="B15" s="22" t="s">
        <v>1443</v>
      </c>
      <c r="C15" s="22" t="s">
        <v>1444</v>
      </c>
      <c r="D15" s="22" t="s">
        <v>1445</v>
      </c>
      <c r="E15" s="35" t="s">
        <v>338</v>
      </c>
      <c r="F15" s="22" t="s">
        <v>1418</v>
      </c>
    </row>
    <row r="16" customFormat="false" ht="108" hidden="false" customHeight="true" outlineLevel="0" collapsed="false">
      <c r="A16" s="22" t="s">
        <v>346</v>
      </c>
      <c r="B16" s="22" t="s">
        <v>1446</v>
      </c>
      <c r="C16" s="22" t="s">
        <v>1447</v>
      </c>
      <c r="D16" s="22" t="s">
        <v>1448</v>
      </c>
      <c r="E16" s="35" t="s">
        <v>306</v>
      </c>
      <c r="F16" s="22" t="s">
        <v>1418</v>
      </c>
    </row>
    <row r="17" customFormat="false" ht="108" hidden="false" customHeight="true" outlineLevel="0" collapsed="false">
      <c r="A17" s="22" t="s">
        <v>355</v>
      </c>
      <c r="B17" s="22" t="s">
        <v>1449</v>
      </c>
      <c r="C17" s="22" t="s">
        <v>1450</v>
      </c>
      <c r="D17" s="22" t="s">
        <v>1451</v>
      </c>
      <c r="E17" s="35" t="s">
        <v>358</v>
      </c>
      <c r="F17" s="22" t="s">
        <v>1418</v>
      </c>
    </row>
    <row r="18" customFormat="false" ht="108" hidden="false" customHeight="true" outlineLevel="0" collapsed="false">
      <c r="A18" s="22" t="s">
        <v>376</v>
      </c>
      <c r="B18" s="22" t="s">
        <v>1452</v>
      </c>
      <c r="C18" s="22" t="s">
        <v>1453</v>
      </c>
      <c r="D18" s="22" t="s">
        <v>1454</v>
      </c>
      <c r="E18" s="35" t="s">
        <v>391</v>
      </c>
      <c r="F18" s="22" t="s">
        <v>1418</v>
      </c>
    </row>
    <row r="19" customFormat="false" ht="108" hidden="false" customHeight="true" outlineLevel="0" collapsed="false">
      <c r="A19" s="22" t="s">
        <v>401</v>
      </c>
      <c r="B19" s="22" t="s">
        <v>1455</v>
      </c>
      <c r="C19" s="22" t="s">
        <v>1456</v>
      </c>
      <c r="D19" s="22" t="s">
        <v>1457</v>
      </c>
      <c r="E19" s="35" t="s">
        <v>404</v>
      </c>
      <c r="F19" s="22" t="s">
        <v>1418</v>
      </c>
    </row>
    <row r="20" customFormat="false" ht="108" hidden="false" customHeight="true" outlineLevel="0" collapsed="false">
      <c r="A20" s="22" t="s">
        <v>414</v>
      </c>
      <c r="B20" s="22" t="s">
        <v>1458</v>
      </c>
      <c r="C20" s="22" t="s">
        <v>1459</v>
      </c>
      <c r="D20" s="22" t="s">
        <v>1460</v>
      </c>
      <c r="E20" s="35" t="s">
        <v>417</v>
      </c>
      <c r="F20" s="22" t="s">
        <v>1418</v>
      </c>
    </row>
    <row r="21" customFormat="false" ht="108" hidden="false" customHeight="true" outlineLevel="0" collapsed="false">
      <c r="A21" s="22" t="s">
        <v>427</v>
      </c>
      <c r="B21" s="22" t="s">
        <v>1461</v>
      </c>
      <c r="C21" s="22" t="s">
        <v>1462</v>
      </c>
      <c r="D21" s="22" t="s">
        <v>1463</v>
      </c>
      <c r="E21" s="35" t="s">
        <v>430</v>
      </c>
      <c r="F21" s="22" t="s">
        <v>1418</v>
      </c>
    </row>
    <row r="22" customFormat="false" ht="108" hidden="false" customHeight="true" outlineLevel="0" collapsed="false">
      <c r="A22" s="22" t="s">
        <v>440</v>
      </c>
      <c r="B22" s="22" t="s">
        <v>442</v>
      </c>
      <c r="C22" s="22" t="s">
        <v>1464</v>
      </c>
      <c r="D22" s="22" t="s">
        <v>1465</v>
      </c>
      <c r="E22" s="35" t="s">
        <v>443</v>
      </c>
      <c r="F22" s="22" t="s">
        <v>1418</v>
      </c>
    </row>
    <row r="23" customFormat="false" ht="108" hidden="false" customHeight="true" outlineLevel="0" collapsed="false">
      <c r="A23" s="22" t="s">
        <v>459</v>
      </c>
      <c r="B23" s="22" t="s">
        <v>1466</v>
      </c>
      <c r="C23" s="22" t="s">
        <v>1467</v>
      </c>
      <c r="D23" s="22" t="s">
        <v>1468</v>
      </c>
      <c r="E23" s="35" t="s">
        <v>462</v>
      </c>
      <c r="F23" s="22" t="s">
        <v>1418</v>
      </c>
    </row>
    <row r="24" customFormat="false" ht="108" hidden="false" customHeight="true" outlineLevel="0" collapsed="false">
      <c r="A24" s="22" t="s">
        <v>480</v>
      </c>
      <c r="B24" s="22" t="s">
        <v>1469</v>
      </c>
      <c r="C24" s="22" t="s">
        <v>1470</v>
      </c>
      <c r="D24" s="22" t="s">
        <v>1471</v>
      </c>
      <c r="E24" s="35" t="s">
        <v>462</v>
      </c>
      <c r="F24" s="22" t="s">
        <v>1418</v>
      </c>
    </row>
    <row r="25" customFormat="false" ht="108" hidden="false" customHeight="true" outlineLevel="0" collapsed="false">
      <c r="A25" s="22" t="s">
        <v>499</v>
      </c>
      <c r="B25" s="22" t="s">
        <v>1472</v>
      </c>
      <c r="C25" s="22" t="s">
        <v>1473</v>
      </c>
      <c r="D25" s="22" t="s">
        <v>1474</v>
      </c>
      <c r="E25" s="35" t="s">
        <v>462</v>
      </c>
      <c r="F25" s="22" t="s">
        <v>1418</v>
      </c>
    </row>
    <row r="26" customFormat="false" ht="108" hidden="false" customHeight="true" outlineLevel="0" collapsed="false">
      <c r="A26" s="22" t="s">
        <v>508</v>
      </c>
      <c r="B26" s="22" t="s">
        <v>1475</v>
      </c>
      <c r="C26" s="22" t="s">
        <v>1476</v>
      </c>
      <c r="D26" s="22" t="s">
        <v>1477</v>
      </c>
      <c r="E26" s="35" t="s">
        <v>511</v>
      </c>
      <c r="F26" s="22" t="s">
        <v>1418</v>
      </c>
    </row>
    <row r="27" customFormat="false" ht="108" hidden="false" customHeight="true" outlineLevel="0" collapsed="false">
      <c r="A27" s="22" t="s">
        <v>549</v>
      </c>
      <c r="B27" s="22" t="s">
        <v>1478</v>
      </c>
      <c r="C27" s="22" t="s">
        <v>1479</v>
      </c>
      <c r="D27" s="22" t="s">
        <v>1480</v>
      </c>
      <c r="E27" s="35" t="s">
        <v>251</v>
      </c>
      <c r="F27" s="22" t="s">
        <v>1418</v>
      </c>
    </row>
    <row r="28" customFormat="false" ht="108" hidden="false" customHeight="true" outlineLevel="0" collapsed="false">
      <c r="A28" s="22" t="s">
        <v>558</v>
      </c>
      <c r="B28" s="22" t="s">
        <v>1481</v>
      </c>
      <c r="C28" s="22" t="s">
        <v>1482</v>
      </c>
      <c r="D28" s="22" t="s">
        <v>1483</v>
      </c>
      <c r="E28" s="35" t="s">
        <v>561</v>
      </c>
      <c r="F28" s="22" t="s">
        <v>1418</v>
      </c>
    </row>
    <row r="29" customFormat="false" ht="108" hidden="false" customHeight="true" outlineLevel="0" collapsed="false">
      <c r="A29" s="22" t="s">
        <v>579</v>
      </c>
      <c r="B29" s="22" t="s">
        <v>1484</v>
      </c>
      <c r="C29" s="22" t="s">
        <v>1485</v>
      </c>
      <c r="D29" s="22" t="s">
        <v>1486</v>
      </c>
      <c r="E29" s="35" t="s">
        <v>561</v>
      </c>
      <c r="F29" s="22" t="s">
        <v>1418</v>
      </c>
    </row>
    <row r="30" customFormat="false" ht="108" hidden="false" customHeight="true" outlineLevel="0" collapsed="false">
      <c r="A30" s="22" t="s">
        <v>590</v>
      </c>
      <c r="B30" s="22" t="s">
        <v>1487</v>
      </c>
      <c r="C30" s="22" t="s">
        <v>1488</v>
      </c>
      <c r="D30" s="22" t="s">
        <v>1489</v>
      </c>
      <c r="E30" s="35" t="s">
        <v>596</v>
      </c>
      <c r="F30" s="22" t="s">
        <v>1418</v>
      </c>
    </row>
    <row r="31" customFormat="false" ht="108" hidden="false" customHeight="true" outlineLevel="0" collapsed="false">
      <c r="A31" s="22" t="s">
        <v>624</v>
      </c>
      <c r="B31" s="22" t="s">
        <v>626</v>
      </c>
      <c r="C31" s="22" t="s">
        <v>1490</v>
      </c>
      <c r="D31" s="22" t="s">
        <v>1491</v>
      </c>
      <c r="E31" s="35" t="s">
        <v>627</v>
      </c>
      <c r="F31" s="22" t="s">
        <v>1418</v>
      </c>
    </row>
    <row r="32" customFormat="false" ht="108" hidden="false" customHeight="true" outlineLevel="0" collapsed="false">
      <c r="A32" s="22" t="s">
        <v>645</v>
      </c>
      <c r="B32" s="22" t="s">
        <v>1492</v>
      </c>
      <c r="C32" s="22" t="s">
        <v>1493</v>
      </c>
      <c r="D32" s="22" t="s">
        <v>1494</v>
      </c>
      <c r="E32" s="35" t="s">
        <v>627</v>
      </c>
      <c r="F32" s="22" t="s">
        <v>1418</v>
      </c>
    </row>
    <row r="33" customFormat="false" ht="108" hidden="false" customHeight="true" outlineLevel="0" collapsed="false">
      <c r="A33" s="22" t="s">
        <v>603</v>
      </c>
      <c r="B33" s="22" t="s">
        <v>1495</v>
      </c>
      <c r="C33" s="22" t="s">
        <v>1496</v>
      </c>
      <c r="D33" s="22" t="s">
        <v>1497</v>
      </c>
      <c r="E33" s="35" t="s">
        <v>606</v>
      </c>
      <c r="F33" s="22" t="s">
        <v>1418</v>
      </c>
    </row>
    <row r="34" customFormat="false" ht="108" hidden="false" customHeight="true" outlineLevel="0" collapsed="false">
      <c r="A34" s="22" t="s">
        <v>690</v>
      </c>
      <c r="B34" s="22" t="s">
        <v>1498</v>
      </c>
      <c r="C34" s="22" t="s">
        <v>1499</v>
      </c>
      <c r="D34" s="22" t="s">
        <v>1500</v>
      </c>
      <c r="E34" s="35" t="s">
        <v>327</v>
      </c>
      <c r="F34" s="22" t="s">
        <v>1418</v>
      </c>
    </row>
    <row r="35" customFormat="false" ht="108" hidden="false" customHeight="true" outlineLevel="0" collapsed="false">
      <c r="A35" s="22" t="s">
        <v>701</v>
      </c>
      <c r="B35" s="22" t="s">
        <v>1501</v>
      </c>
      <c r="C35" s="22" t="s">
        <v>1502</v>
      </c>
      <c r="D35" s="22" t="s">
        <v>1503</v>
      </c>
      <c r="E35" s="35" t="s">
        <v>327</v>
      </c>
      <c r="F35" s="22" t="s">
        <v>1418</v>
      </c>
    </row>
    <row r="36" customFormat="false" ht="108" hidden="false" customHeight="true" outlineLevel="0" collapsed="false">
      <c r="A36" s="22" t="s">
        <v>710</v>
      </c>
      <c r="B36" s="22" t="s">
        <v>1504</v>
      </c>
      <c r="C36" s="22" t="s">
        <v>1505</v>
      </c>
      <c r="D36" s="22" t="s">
        <v>1506</v>
      </c>
      <c r="E36" s="35" t="s">
        <v>327</v>
      </c>
      <c r="F36" s="22" t="s">
        <v>1418</v>
      </c>
    </row>
    <row r="37" customFormat="false" ht="108" hidden="false" customHeight="true" outlineLevel="0" collapsed="false">
      <c r="A37" s="22" t="s">
        <v>721</v>
      </c>
      <c r="B37" s="22" t="s">
        <v>1507</v>
      </c>
      <c r="C37" s="22" t="s">
        <v>1508</v>
      </c>
      <c r="D37" s="22" t="s">
        <v>1509</v>
      </c>
      <c r="E37" s="35" t="s">
        <v>714</v>
      </c>
      <c r="F37" s="22" t="s">
        <v>1418</v>
      </c>
    </row>
    <row r="38" customFormat="false" ht="108" hidden="false" customHeight="true" outlineLevel="0" collapsed="false">
      <c r="A38" s="22" t="s">
        <v>843</v>
      </c>
      <c r="B38" s="22" t="s">
        <v>1510</v>
      </c>
      <c r="C38" s="22" t="s">
        <v>1511</v>
      </c>
      <c r="D38" s="22" t="s">
        <v>1512</v>
      </c>
      <c r="E38" s="35" t="s">
        <v>846</v>
      </c>
      <c r="F38" s="22" t="s">
        <v>1418</v>
      </c>
    </row>
    <row r="39" customFormat="false" ht="108" hidden="false" customHeight="true" outlineLevel="0" collapsed="false">
      <c r="A39" s="22" t="s">
        <v>864</v>
      </c>
      <c r="B39" s="22" t="s">
        <v>1513</v>
      </c>
      <c r="C39" s="22" t="s">
        <v>1514</v>
      </c>
      <c r="D39" s="22" t="s">
        <v>1515</v>
      </c>
      <c r="E39" s="35" t="s">
        <v>846</v>
      </c>
      <c r="F39" s="22" t="s">
        <v>1418</v>
      </c>
    </row>
    <row r="40" customFormat="false" ht="108" hidden="false" customHeight="true" outlineLevel="0" collapsed="false">
      <c r="A40" s="22" t="s">
        <v>883</v>
      </c>
      <c r="B40" s="22" t="s">
        <v>1516</v>
      </c>
      <c r="C40" s="22" t="s">
        <v>1517</v>
      </c>
      <c r="D40" s="22" t="s">
        <v>1518</v>
      </c>
      <c r="E40" s="35" t="s">
        <v>846</v>
      </c>
      <c r="F40" s="22" t="s">
        <v>1418</v>
      </c>
    </row>
    <row r="41" customFormat="false" ht="108" hidden="false" customHeight="true" outlineLevel="0" collapsed="false">
      <c r="A41" s="22" t="s">
        <v>894</v>
      </c>
      <c r="B41" s="22" t="s">
        <v>1519</v>
      </c>
      <c r="C41" s="22" t="s">
        <v>1520</v>
      </c>
      <c r="D41" s="22" t="s">
        <v>1521</v>
      </c>
      <c r="E41" s="35" t="s">
        <v>846</v>
      </c>
      <c r="F41" s="22" t="s">
        <v>1418</v>
      </c>
    </row>
    <row r="42" customFormat="false" ht="108" hidden="false" customHeight="true" outlineLevel="0" collapsed="false">
      <c r="A42" s="22" t="s">
        <v>768</v>
      </c>
      <c r="B42" s="22" t="s">
        <v>1522</v>
      </c>
      <c r="C42" s="22" t="s">
        <v>1523</v>
      </c>
      <c r="D42" s="22" t="s">
        <v>1524</v>
      </c>
      <c r="E42" s="35" t="s">
        <v>868</v>
      </c>
      <c r="F42" s="22" t="s">
        <v>1418</v>
      </c>
    </row>
    <row r="43" customFormat="false" ht="108" hidden="false" customHeight="true" outlineLevel="0" collapsed="false">
      <c r="A43" s="22" t="s">
        <v>939</v>
      </c>
      <c r="B43" s="22" t="s">
        <v>1525</v>
      </c>
      <c r="C43" s="22" t="s">
        <v>1526</v>
      </c>
      <c r="D43" s="22" t="s">
        <v>1527</v>
      </c>
      <c r="E43" s="35" t="s">
        <v>942</v>
      </c>
      <c r="F43" s="22" t="s">
        <v>1418</v>
      </c>
    </row>
    <row r="44" customFormat="false" ht="108" hidden="false" customHeight="true" outlineLevel="0" collapsed="false">
      <c r="A44" s="22" t="s">
        <v>959</v>
      </c>
      <c r="B44" s="22" t="s">
        <v>1528</v>
      </c>
      <c r="C44" s="22" t="s">
        <v>1529</v>
      </c>
      <c r="D44" s="22" t="s">
        <v>1530</v>
      </c>
      <c r="E44" s="35" t="s">
        <v>942</v>
      </c>
      <c r="F44" s="22" t="s">
        <v>1418</v>
      </c>
    </row>
    <row r="45" customFormat="false" ht="108" hidden="false" customHeight="true" outlineLevel="0" collapsed="false">
      <c r="A45" s="22" t="s">
        <v>986</v>
      </c>
      <c r="B45" s="22" t="s">
        <v>1531</v>
      </c>
      <c r="C45" s="22" t="s">
        <v>1532</v>
      </c>
      <c r="D45" s="22" t="s">
        <v>1533</v>
      </c>
      <c r="E45" s="35" t="s">
        <v>989</v>
      </c>
      <c r="F45" s="22" t="s">
        <v>1418</v>
      </c>
    </row>
    <row r="46" customFormat="false" ht="108" hidden="false" customHeight="true" outlineLevel="0" collapsed="false">
      <c r="A46" s="22" t="s">
        <v>1009</v>
      </c>
      <c r="B46" s="22" t="s">
        <v>1534</v>
      </c>
      <c r="C46" s="22" t="s">
        <v>1535</v>
      </c>
      <c r="D46" s="22" t="s">
        <v>1536</v>
      </c>
      <c r="E46" s="35" t="s">
        <v>992</v>
      </c>
      <c r="F46" s="22" t="s">
        <v>1418</v>
      </c>
    </row>
    <row r="47" customFormat="false" ht="108" hidden="false" customHeight="true" outlineLevel="0" collapsed="false">
      <c r="A47" s="22" t="s">
        <v>1045</v>
      </c>
      <c r="B47" s="22" t="s">
        <v>1537</v>
      </c>
      <c r="C47" s="22" t="s">
        <v>1538</v>
      </c>
      <c r="D47" s="22" t="s">
        <v>1539</v>
      </c>
      <c r="E47" s="35" t="s">
        <v>1048</v>
      </c>
      <c r="F47" s="22" t="s">
        <v>1418</v>
      </c>
    </row>
    <row r="48" customFormat="false" ht="108" hidden="false" customHeight="true" outlineLevel="0" collapsed="false">
      <c r="A48" s="22" t="s">
        <v>1056</v>
      </c>
      <c r="B48" s="22" t="s">
        <v>1540</v>
      </c>
      <c r="C48" s="22" t="s">
        <v>1541</v>
      </c>
      <c r="D48" s="22" t="s">
        <v>1542</v>
      </c>
      <c r="E48" s="35" t="s">
        <v>1059</v>
      </c>
      <c r="F48" s="22" t="s">
        <v>1418</v>
      </c>
    </row>
    <row r="49" customFormat="false" ht="108" hidden="false" customHeight="true" outlineLevel="0" collapsed="false">
      <c r="A49" s="22" t="s">
        <v>1067</v>
      </c>
      <c r="B49" s="22" t="s">
        <v>1543</v>
      </c>
      <c r="C49" s="22" t="s">
        <v>1544</v>
      </c>
      <c r="D49" s="22" t="s">
        <v>1545</v>
      </c>
      <c r="E49" s="35" t="s">
        <v>1070</v>
      </c>
      <c r="F49" s="22" t="s">
        <v>1418</v>
      </c>
    </row>
    <row r="50" customFormat="false" ht="108" hidden="false" customHeight="true" outlineLevel="0" collapsed="false">
      <c r="A50" s="22" t="s">
        <v>1078</v>
      </c>
      <c r="B50" s="22" t="s">
        <v>1546</v>
      </c>
      <c r="C50" s="22" t="s">
        <v>1547</v>
      </c>
      <c r="D50" s="22" t="s">
        <v>1548</v>
      </c>
      <c r="E50" s="35" t="s">
        <v>1081</v>
      </c>
      <c r="F50" s="22" t="s">
        <v>1549</v>
      </c>
    </row>
    <row r="51" customFormat="false" ht="108" hidden="false" customHeight="true" outlineLevel="0" collapsed="false">
      <c r="A51" s="22" t="s">
        <v>1133</v>
      </c>
      <c r="B51" s="22" t="s">
        <v>1550</v>
      </c>
      <c r="C51" s="22" t="s">
        <v>1551</v>
      </c>
      <c r="D51" s="22" t="s">
        <v>1552</v>
      </c>
      <c r="E51" s="35" t="s">
        <v>1136</v>
      </c>
      <c r="F51" s="22" t="s">
        <v>1549</v>
      </c>
    </row>
    <row r="52" customFormat="false" ht="108" hidden="false" customHeight="true" outlineLevel="0" collapsed="false">
      <c r="A52" s="22" t="s">
        <v>1146</v>
      </c>
      <c r="B52" s="22" t="s">
        <v>1553</v>
      </c>
      <c r="C52" s="22" t="s">
        <v>1554</v>
      </c>
      <c r="D52" s="22" t="s">
        <v>1555</v>
      </c>
      <c r="E52" s="35" t="s">
        <v>1136</v>
      </c>
      <c r="F52" s="22" t="s">
        <v>1549</v>
      </c>
    </row>
    <row r="53" customFormat="false" ht="108" hidden="false" customHeight="true" outlineLevel="0" collapsed="false">
      <c r="A53" s="22" t="s">
        <v>1163</v>
      </c>
      <c r="B53" s="22" t="s">
        <v>1556</v>
      </c>
      <c r="C53" s="22" t="s">
        <v>1557</v>
      </c>
      <c r="D53" s="22" t="s">
        <v>1558</v>
      </c>
      <c r="E53" s="35" t="s">
        <v>1136</v>
      </c>
      <c r="F53" s="22" t="s">
        <v>1549</v>
      </c>
    </row>
    <row r="54" customFormat="false" ht="108" hidden="false" customHeight="true" outlineLevel="0" collapsed="false">
      <c r="A54" s="22" t="s">
        <v>1174</v>
      </c>
      <c r="B54" s="22" t="s">
        <v>1559</v>
      </c>
      <c r="C54" s="22" t="s">
        <v>1560</v>
      </c>
      <c r="D54" s="22" t="s">
        <v>1561</v>
      </c>
      <c r="E54" s="35" t="s">
        <v>606</v>
      </c>
      <c r="F54" s="22" t="s">
        <v>1418</v>
      </c>
    </row>
    <row r="55" customFormat="false" ht="108" hidden="false" customHeight="true" outlineLevel="0" collapsed="false">
      <c r="A55" s="22" t="s">
        <v>1028</v>
      </c>
      <c r="B55" s="22" t="s">
        <v>1562</v>
      </c>
      <c r="C55" s="22" t="s">
        <v>1563</v>
      </c>
      <c r="D55" s="22" t="s">
        <v>1564</v>
      </c>
      <c r="E55" s="35" t="s">
        <v>1002</v>
      </c>
      <c r="F55" s="22" t="s">
        <v>1418</v>
      </c>
    </row>
    <row r="56" customFormat="false" ht="108" hidden="false" customHeight="true" outlineLevel="0" collapsed="false">
      <c r="A56" s="22" t="s">
        <v>781</v>
      </c>
      <c r="B56" s="22" t="s">
        <v>1565</v>
      </c>
      <c r="C56" s="22" t="s">
        <v>1566</v>
      </c>
      <c r="D56" s="22" t="s">
        <v>1567</v>
      </c>
      <c r="E56" s="35" t="s">
        <v>1207</v>
      </c>
      <c r="F56" s="22" t="s">
        <v>1418</v>
      </c>
    </row>
    <row r="57" customFormat="false" ht="108" hidden="false" customHeight="true" outlineLevel="0" collapsed="false">
      <c r="A57" s="22" t="s">
        <v>1285</v>
      </c>
      <c r="B57" s="22" t="s">
        <v>1568</v>
      </c>
      <c r="C57" s="22" t="s">
        <v>1569</v>
      </c>
      <c r="D57" s="22" t="s">
        <v>1570</v>
      </c>
      <c r="E57" s="35" t="s">
        <v>229</v>
      </c>
      <c r="F57" s="22" t="s">
        <v>1418</v>
      </c>
    </row>
    <row r="58" customFormat="false" ht="108" hidden="false" customHeight="true" outlineLevel="0" collapsed="false">
      <c r="A58" s="22" t="s">
        <v>810</v>
      </c>
      <c r="B58" s="22" t="s">
        <v>1571</v>
      </c>
      <c r="C58" s="22" t="s">
        <v>1572</v>
      </c>
      <c r="D58" s="22" t="s">
        <v>1573</v>
      </c>
      <c r="E58" s="35" t="s">
        <v>240</v>
      </c>
      <c r="F58" s="22" t="s">
        <v>1418</v>
      </c>
    </row>
    <row r="59" customFormat="false" ht="108" hidden="false" customHeight="true" outlineLevel="0" collapsed="false">
      <c r="A59" s="22" t="s">
        <v>291</v>
      </c>
      <c r="B59" s="22" t="s">
        <v>1574</v>
      </c>
      <c r="C59" s="22" t="s">
        <v>1575</v>
      </c>
      <c r="D59" s="22" t="s">
        <v>1576</v>
      </c>
      <c r="E59" s="35" t="s">
        <v>1341</v>
      </c>
      <c r="F59" s="22" t="s">
        <v>1418</v>
      </c>
    </row>
    <row r="60" customFormat="false" ht="108" hidden="false" customHeight="true" outlineLevel="0" collapsed="false">
      <c r="A60" s="22" t="s">
        <v>527</v>
      </c>
      <c r="B60" s="22" t="s">
        <v>1577</v>
      </c>
      <c r="C60" s="22" t="s">
        <v>1578</v>
      </c>
      <c r="D60" s="22" t="s">
        <v>1579</v>
      </c>
      <c r="E60" s="35" t="s">
        <v>593</v>
      </c>
      <c r="F60" s="22" t="s">
        <v>1418</v>
      </c>
    </row>
    <row r="61" customFormat="false" ht="108" hidden="false" customHeight="true" outlineLevel="0" collapsed="false">
      <c r="A61" s="22" t="s">
        <v>1215</v>
      </c>
      <c r="B61" s="22" t="s">
        <v>1580</v>
      </c>
      <c r="C61" s="22" t="s">
        <v>1581</v>
      </c>
      <c r="D61" s="22" t="s">
        <v>1582</v>
      </c>
      <c r="E61" s="35" t="s">
        <v>1218</v>
      </c>
      <c r="F61" s="22" t="s">
        <v>1418</v>
      </c>
    </row>
    <row r="62" customFormat="false" ht="108" hidden="false" customHeight="true" outlineLevel="0" collapsed="false">
      <c r="A62" s="22" t="s">
        <v>1226</v>
      </c>
      <c r="B62" s="22" t="s">
        <v>1583</v>
      </c>
      <c r="C62" s="22" t="s">
        <v>1584</v>
      </c>
      <c r="D62" s="22" t="s">
        <v>1585</v>
      </c>
      <c r="E62" s="35" t="s">
        <v>583</v>
      </c>
      <c r="F62" s="22" t="s">
        <v>1418</v>
      </c>
    </row>
    <row r="63" customFormat="false" ht="108" hidden="false" customHeight="true" outlineLevel="0" collapsed="false">
      <c r="A63" s="22" t="s">
        <v>540</v>
      </c>
      <c r="B63" s="22" t="s">
        <v>1586</v>
      </c>
      <c r="C63" s="22" t="s">
        <v>1587</v>
      </c>
      <c r="D63" s="22" t="s">
        <v>1588</v>
      </c>
      <c r="E63" s="35" t="s">
        <v>1401</v>
      </c>
      <c r="F63" s="22" t="s">
        <v>1418</v>
      </c>
    </row>
  </sheetData>
  <mergeCells count="2">
    <mergeCell ref="A1:F2"/>
    <mergeCell ref="A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3"/>
    <col collapsed="false" customWidth="true" hidden="false" outlineLevel="0" max="3" min="3" style="0" width="32"/>
    <col collapsed="false" customWidth="true" hidden="false" outlineLevel="0" max="4" min="4" style="0" width="25"/>
    <col collapsed="false" customWidth="true" hidden="false" outlineLevel="0" max="5" min="5" style="0" width="98"/>
    <col collapsed="false" customWidth="true" hidden="false" outlineLevel="0" max="6" min="6" style="0" width="16"/>
    <col collapsed="false" customWidth="true" hidden="false" outlineLevel="0" max="7" min="7" style="0" width="57"/>
  </cols>
  <sheetData>
    <row r="1" customFormat="false" ht="25" hidden="false" customHeight="true" outlineLevel="0" collapsed="false">
      <c r="A1" s="1" t="s">
        <v>1589</v>
      </c>
      <c r="B1" s="1"/>
      <c r="C1" s="1"/>
      <c r="D1" s="1"/>
      <c r="E1" s="1"/>
      <c r="F1" s="1"/>
      <c r="G1" s="1"/>
    </row>
    <row r="2" customFormat="false" ht="25" hidden="false" customHeight="true" outlineLevel="0" collapsed="false">
      <c r="A2" s="1"/>
      <c r="B2" s="1"/>
      <c r="C2" s="1"/>
      <c r="D2" s="1"/>
      <c r="E2" s="1"/>
      <c r="F2" s="1"/>
      <c r="G2" s="1"/>
    </row>
    <row r="3" customFormat="false" ht="32" hidden="false" customHeight="true" outlineLevel="0" collapsed="false">
      <c r="A3" s="2" t="s">
        <v>1590</v>
      </c>
      <c r="B3" s="2"/>
      <c r="C3" s="2"/>
      <c r="D3" s="2"/>
      <c r="E3" s="2"/>
      <c r="F3" s="2"/>
      <c r="G3" s="2"/>
    </row>
    <row r="4" customFormat="false" ht="26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35" hidden="false" customHeight="true" outlineLevel="0" collapsed="false">
      <c r="A5" s="14" t="s">
        <v>1591</v>
      </c>
      <c r="B5" s="14" t="s">
        <v>1592</v>
      </c>
      <c r="C5" s="14" t="s">
        <v>1593</v>
      </c>
      <c r="D5" s="14" t="s">
        <v>1594</v>
      </c>
      <c r="E5" s="14" t="s">
        <v>1595</v>
      </c>
      <c r="F5" s="14" t="s">
        <v>1596</v>
      </c>
      <c r="G5" s="14" t="s">
        <v>1597</v>
      </c>
    </row>
    <row r="6" customFormat="false" ht="78" hidden="false" customHeight="true" outlineLevel="0" collapsed="false">
      <c r="A6" s="22" t="s">
        <v>1598</v>
      </c>
      <c r="B6" s="22" t="s">
        <v>228</v>
      </c>
      <c r="C6" s="22" t="s">
        <v>1599</v>
      </c>
      <c r="D6" s="22" t="s">
        <v>1600</v>
      </c>
      <c r="E6" s="35" t="s">
        <v>229</v>
      </c>
      <c r="F6" s="23" t="n">
        <v>46271</v>
      </c>
      <c r="G6" s="22" t="s">
        <v>1601</v>
      </c>
    </row>
    <row r="7" customFormat="false" ht="78" hidden="false" customHeight="true" outlineLevel="0" collapsed="false">
      <c r="A7" s="22" t="s">
        <v>1602</v>
      </c>
      <c r="B7" s="22" t="s">
        <v>239</v>
      </c>
      <c r="C7" s="22" t="s">
        <v>1599</v>
      </c>
      <c r="D7" s="22" t="s">
        <v>1600</v>
      </c>
      <c r="E7" s="35" t="s">
        <v>240</v>
      </c>
      <c r="F7" s="23" t="n">
        <v>46271</v>
      </c>
      <c r="G7" s="22" t="s">
        <v>1601</v>
      </c>
    </row>
    <row r="8" customFormat="false" ht="78" hidden="false" customHeight="true" outlineLevel="0" collapsed="false">
      <c r="A8" s="22" t="s">
        <v>1603</v>
      </c>
      <c r="B8" s="22" t="s">
        <v>264</v>
      </c>
      <c r="C8" s="22" t="s">
        <v>1599</v>
      </c>
      <c r="D8" s="22" t="s">
        <v>1600</v>
      </c>
      <c r="E8" s="35" t="s">
        <v>265</v>
      </c>
      <c r="F8" s="23" t="n">
        <v>46271</v>
      </c>
      <c r="G8" s="22" t="s">
        <v>1601</v>
      </c>
    </row>
    <row r="9" customFormat="false" ht="78" hidden="false" customHeight="true" outlineLevel="0" collapsed="false">
      <c r="A9" s="22" t="s">
        <v>1604</v>
      </c>
      <c r="B9" s="22" t="s">
        <v>305</v>
      </c>
      <c r="C9" s="22" t="s">
        <v>1599</v>
      </c>
      <c r="D9" s="22" t="s">
        <v>1600</v>
      </c>
      <c r="E9" s="35" t="s">
        <v>306</v>
      </c>
      <c r="F9" s="23" t="n">
        <v>46271</v>
      </c>
      <c r="G9" s="22" t="s">
        <v>1601</v>
      </c>
    </row>
    <row r="10" customFormat="false" ht="78" hidden="false" customHeight="true" outlineLevel="0" collapsed="false">
      <c r="A10" s="22" t="s">
        <v>1605</v>
      </c>
      <c r="B10" s="22" t="s">
        <v>419</v>
      </c>
      <c r="C10" s="22" t="s">
        <v>1599</v>
      </c>
      <c r="D10" s="22" t="s">
        <v>1600</v>
      </c>
      <c r="E10" s="35" t="s">
        <v>420</v>
      </c>
      <c r="F10" s="23" t="n">
        <v>46271</v>
      </c>
      <c r="G10" s="22" t="s">
        <v>1601</v>
      </c>
    </row>
    <row r="11" customFormat="false" ht="78" hidden="false" customHeight="true" outlineLevel="0" collapsed="false">
      <c r="A11" s="22" t="s">
        <v>1606</v>
      </c>
      <c r="B11" s="22" t="s">
        <v>406</v>
      </c>
      <c r="C11" s="22" t="s">
        <v>1599</v>
      </c>
      <c r="D11" s="22" t="s">
        <v>1600</v>
      </c>
      <c r="E11" s="35" t="s">
        <v>407</v>
      </c>
      <c r="F11" s="23" t="n">
        <v>46271</v>
      </c>
      <c r="G11" s="22" t="s">
        <v>1601</v>
      </c>
    </row>
    <row r="12" customFormat="false" ht="78" hidden="false" customHeight="true" outlineLevel="0" collapsed="false">
      <c r="A12" s="22" t="s">
        <v>1607</v>
      </c>
      <c r="B12" s="22" t="s">
        <v>629</v>
      </c>
      <c r="C12" s="22" t="s">
        <v>1599</v>
      </c>
      <c r="D12" s="22" t="s">
        <v>1600</v>
      </c>
      <c r="E12" s="35" t="s">
        <v>630</v>
      </c>
      <c r="F12" s="23" t="n">
        <v>46271</v>
      </c>
      <c r="G12" s="22" t="s">
        <v>1601</v>
      </c>
    </row>
    <row r="13" customFormat="false" ht="78" hidden="false" customHeight="true" outlineLevel="0" collapsed="false">
      <c r="A13" s="22" t="s">
        <v>1608</v>
      </c>
      <c r="B13" s="22" t="s">
        <v>532</v>
      </c>
      <c r="C13" s="22" t="s">
        <v>1599</v>
      </c>
      <c r="D13" s="22" t="s">
        <v>1600</v>
      </c>
      <c r="E13" s="35" t="s">
        <v>533</v>
      </c>
      <c r="F13" s="23" t="n">
        <v>46271</v>
      </c>
      <c r="G13" s="22" t="s">
        <v>1601</v>
      </c>
    </row>
    <row r="14" customFormat="false" ht="78" hidden="false" customHeight="true" outlineLevel="0" collapsed="false">
      <c r="A14" s="22" t="s">
        <v>1609</v>
      </c>
      <c r="B14" s="22" t="s">
        <v>360</v>
      </c>
      <c r="C14" s="22" t="s">
        <v>1599</v>
      </c>
      <c r="D14" s="22" t="s">
        <v>1600</v>
      </c>
      <c r="E14" s="35" t="s">
        <v>361</v>
      </c>
      <c r="F14" s="23" t="n">
        <v>46271</v>
      </c>
      <c r="G14" s="22" t="s">
        <v>1601</v>
      </c>
    </row>
    <row r="15" customFormat="false" ht="78" hidden="false" customHeight="true" outlineLevel="0" collapsed="false">
      <c r="A15" s="22" t="s">
        <v>1610</v>
      </c>
      <c r="B15" s="22" t="s">
        <v>432</v>
      </c>
      <c r="C15" s="22" t="s">
        <v>1599</v>
      </c>
      <c r="D15" s="22" t="s">
        <v>1600</v>
      </c>
      <c r="E15" s="35" t="s">
        <v>433</v>
      </c>
      <c r="F15" s="23" t="n">
        <v>46271</v>
      </c>
      <c r="G15" s="22" t="s">
        <v>1601</v>
      </c>
    </row>
    <row r="16" customFormat="false" ht="78" hidden="false" customHeight="true" outlineLevel="0" collapsed="false">
      <c r="A16" s="22" t="s">
        <v>1611</v>
      </c>
      <c r="B16" s="22" t="s">
        <v>673</v>
      </c>
      <c r="C16" s="22" t="s">
        <v>1599</v>
      </c>
      <c r="D16" s="22" t="s">
        <v>1600</v>
      </c>
      <c r="E16" s="35" t="s">
        <v>674</v>
      </c>
      <c r="F16" s="23" t="n">
        <v>46271</v>
      </c>
      <c r="G16" s="22" t="s">
        <v>1601</v>
      </c>
    </row>
    <row r="17" customFormat="false" ht="78" hidden="false" customHeight="true" outlineLevel="0" collapsed="false">
      <c r="A17" s="22" t="s">
        <v>1612</v>
      </c>
      <c r="B17" s="22" t="s">
        <v>316</v>
      </c>
      <c r="C17" s="22" t="s">
        <v>1599</v>
      </c>
      <c r="D17" s="22" t="s">
        <v>1600</v>
      </c>
      <c r="E17" s="35" t="s">
        <v>317</v>
      </c>
      <c r="F17" s="23" t="n">
        <v>46271</v>
      </c>
      <c r="G17" s="22" t="s">
        <v>1601</v>
      </c>
    </row>
    <row r="18" customFormat="false" ht="78" hidden="false" customHeight="true" outlineLevel="0" collapsed="false">
      <c r="A18" s="22" t="s">
        <v>1613</v>
      </c>
      <c r="B18" s="22" t="s">
        <v>1614</v>
      </c>
      <c r="C18" s="22" t="s">
        <v>1599</v>
      </c>
      <c r="D18" s="22" t="s">
        <v>1600</v>
      </c>
      <c r="E18" s="35" t="s">
        <v>1615</v>
      </c>
      <c r="F18" s="23" t="n">
        <v>46271</v>
      </c>
      <c r="G18" s="22" t="s">
        <v>1601</v>
      </c>
    </row>
    <row r="19" customFormat="false" ht="78" hidden="false" customHeight="true" outlineLevel="0" collapsed="false">
      <c r="A19" s="22" t="s">
        <v>1616</v>
      </c>
      <c r="B19" s="22" t="s">
        <v>663</v>
      </c>
      <c r="C19" s="22" t="s">
        <v>1599</v>
      </c>
      <c r="D19" s="22" t="s">
        <v>1600</v>
      </c>
      <c r="E19" s="35" t="s">
        <v>664</v>
      </c>
      <c r="F19" s="23" t="n">
        <v>46271</v>
      </c>
      <c r="G19" s="22" t="s">
        <v>1601</v>
      </c>
    </row>
    <row r="20" customFormat="false" ht="78" hidden="false" customHeight="true" outlineLevel="0" collapsed="false">
      <c r="A20" s="22" t="s">
        <v>1617</v>
      </c>
      <c r="B20" s="22" t="s">
        <v>608</v>
      </c>
      <c r="C20" s="22" t="s">
        <v>1599</v>
      </c>
      <c r="D20" s="22" t="s">
        <v>1600</v>
      </c>
      <c r="E20" s="35" t="s">
        <v>609</v>
      </c>
      <c r="F20" s="23" t="n">
        <v>46271</v>
      </c>
      <c r="G20" s="22" t="s">
        <v>1601</v>
      </c>
    </row>
    <row r="21" customFormat="false" ht="78" hidden="false" customHeight="true" outlineLevel="0" collapsed="false">
      <c r="A21" s="22" t="s">
        <v>1618</v>
      </c>
      <c r="B21" s="22" t="s">
        <v>381</v>
      </c>
      <c r="C21" s="22" t="s">
        <v>1599</v>
      </c>
      <c r="D21" s="22" t="s">
        <v>1600</v>
      </c>
      <c r="E21" s="35" t="s">
        <v>382</v>
      </c>
      <c r="F21" s="23" t="n">
        <v>46271</v>
      </c>
      <c r="G21" s="22" t="s">
        <v>1601</v>
      </c>
    </row>
    <row r="22" customFormat="false" ht="78" hidden="false" customHeight="true" outlineLevel="0" collapsed="false">
      <c r="A22" s="22" t="s">
        <v>1619</v>
      </c>
      <c r="B22" s="22" t="s">
        <v>393</v>
      </c>
      <c r="C22" s="22" t="s">
        <v>1599</v>
      </c>
      <c r="D22" s="22" t="s">
        <v>1600</v>
      </c>
      <c r="E22" s="35" t="s">
        <v>394</v>
      </c>
      <c r="F22" s="23" t="n">
        <v>46271</v>
      </c>
      <c r="G22" s="22" t="s">
        <v>1601</v>
      </c>
    </row>
    <row r="23" customFormat="false" ht="78" hidden="false" customHeight="true" outlineLevel="0" collapsed="false">
      <c r="A23" s="22" t="s">
        <v>1620</v>
      </c>
      <c r="B23" s="22" t="s">
        <v>464</v>
      </c>
      <c r="C23" s="22" t="s">
        <v>1599</v>
      </c>
      <c r="D23" s="22" t="s">
        <v>1600</v>
      </c>
      <c r="E23" s="35" t="s">
        <v>465</v>
      </c>
      <c r="F23" s="23" t="n">
        <v>46271</v>
      </c>
      <c r="G23" s="22" t="s">
        <v>1601</v>
      </c>
    </row>
    <row r="24" customFormat="false" ht="78" hidden="false" customHeight="true" outlineLevel="0" collapsed="false">
      <c r="A24" s="22" t="s">
        <v>1621</v>
      </c>
      <c r="B24" s="22" t="s">
        <v>483</v>
      </c>
      <c r="C24" s="22" t="s">
        <v>1599</v>
      </c>
      <c r="D24" s="22" t="s">
        <v>1600</v>
      </c>
      <c r="E24" s="35" t="s">
        <v>484</v>
      </c>
      <c r="F24" s="23" t="n">
        <v>46271</v>
      </c>
      <c r="G24" s="22" t="s">
        <v>1601</v>
      </c>
    </row>
    <row r="25" customFormat="false" ht="78" hidden="false" customHeight="true" outlineLevel="0" collapsed="false">
      <c r="A25" s="22" t="s">
        <v>1622</v>
      </c>
      <c r="B25" s="22" t="s">
        <v>563</v>
      </c>
      <c r="C25" s="22" t="s">
        <v>1599</v>
      </c>
      <c r="D25" s="22" t="s">
        <v>1600</v>
      </c>
      <c r="E25" s="35" t="s">
        <v>564</v>
      </c>
      <c r="F25" s="23" t="n">
        <v>46271</v>
      </c>
      <c r="G25" s="22" t="s">
        <v>1601</v>
      </c>
    </row>
    <row r="26" customFormat="false" ht="78" hidden="false" customHeight="true" outlineLevel="0" collapsed="false">
      <c r="A26" s="22" t="s">
        <v>1623</v>
      </c>
      <c r="B26" s="22" t="s">
        <v>736</v>
      </c>
      <c r="C26" s="22" t="s">
        <v>1599</v>
      </c>
      <c r="D26" s="22" t="s">
        <v>1600</v>
      </c>
      <c r="E26" s="35" t="s">
        <v>737</v>
      </c>
      <c r="F26" s="23" t="n">
        <v>46271</v>
      </c>
      <c r="G26" s="22" t="s">
        <v>1601</v>
      </c>
    </row>
    <row r="27" customFormat="false" ht="78" hidden="false" customHeight="true" outlineLevel="0" collapsed="false">
      <c r="A27" s="22" t="s">
        <v>1624</v>
      </c>
      <c r="B27" s="22" t="s">
        <v>944</v>
      </c>
      <c r="C27" s="22" t="s">
        <v>1599</v>
      </c>
      <c r="D27" s="22" t="s">
        <v>1600</v>
      </c>
      <c r="E27" s="35" t="s">
        <v>945</v>
      </c>
      <c r="F27" s="23" t="n">
        <v>46271</v>
      </c>
      <c r="G27" s="22" t="s">
        <v>1601</v>
      </c>
    </row>
    <row r="28" customFormat="false" ht="78" hidden="false" customHeight="true" outlineLevel="0" collapsed="false">
      <c r="A28" s="22" t="s">
        <v>1625</v>
      </c>
      <c r="B28" s="22" t="s">
        <v>713</v>
      </c>
      <c r="C28" s="22" t="s">
        <v>1599</v>
      </c>
      <c r="D28" s="22" t="s">
        <v>1600</v>
      </c>
      <c r="E28" s="35" t="s">
        <v>714</v>
      </c>
      <c r="F28" s="23" t="n">
        <v>46271</v>
      </c>
      <c r="G28" s="22" t="s">
        <v>1601</v>
      </c>
    </row>
    <row r="29" customFormat="false" ht="78" hidden="false" customHeight="true" outlineLevel="0" collapsed="false">
      <c r="A29" s="22" t="s">
        <v>1626</v>
      </c>
      <c r="B29" s="22" t="s">
        <v>848</v>
      </c>
      <c r="C29" s="22" t="s">
        <v>1599</v>
      </c>
      <c r="D29" s="22" t="s">
        <v>1600</v>
      </c>
      <c r="E29" s="35" t="s">
        <v>849</v>
      </c>
      <c r="F29" s="23" t="n">
        <v>46271</v>
      </c>
      <c r="G29" s="22" t="s">
        <v>1601</v>
      </c>
    </row>
    <row r="30" customFormat="false" ht="78" hidden="false" customHeight="true" outlineLevel="0" collapsed="false">
      <c r="A30" s="22" t="s">
        <v>1627</v>
      </c>
      <c r="B30" s="22" t="s">
        <v>595</v>
      </c>
      <c r="C30" s="22" t="s">
        <v>1599</v>
      </c>
      <c r="D30" s="22" t="s">
        <v>1600</v>
      </c>
      <c r="E30" s="35" t="s">
        <v>596</v>
      </c>
      <c r="F30" s="23" t="n">
        <v>46271</v>
      </c>
      <c r="G30" s="22" t="s">
        <v>1601</v>
      </c>
    </row>
    <row r="31" customFormat="false" ht="78" hidden="false" customHeight="true" outlineLevel="0" collapsed="false">
      <c r="A31" s="22" t="s">
        <v>1628</v>
      </c>
      <c r="B31" s="22" t="s">
        <v>773</v>
      </c>
      <c r="C31" s="22" t="s">
        <v>1599</v>
      </c>
      <c r="D31" s="22" t="s">
        <v>1600</v>
      </c>
      <c r="E31" s="35" t="s">
        <v>774</v>
      </c>
      <c r="F31" s="23" t="n">
        <v>46271</v>
      </c>
      <c r="G31" s="22" t="s">
        <v>1601</v>
      </c>
    </row>
    <row r="32" customFormat="false" ht="78" hidden="false" customHeight="true" outlineLevel="0" collapsed="false">
      <c r="A32" s="22" t="s">
        <v>1629</v>
      </c>
      <c r="B32" s="22" t="s">
        <v>867</v>
      </c>
      <c r="C32" s="22" t="s">
        <v>1599</v>
      </c>
      <c r="D32" s="22" t="s">
        <v>1600</v>
      </c>
      <c r="E32" s="35" t="s">
        <v>868</v>
      </c>
      <c r="F32" s="23" t="n">
        <v>46271</v>
      </c>
      <c r="G32" s="22" t="s">
        <v>1601</v>
      </c>
    </row>
    <row r="33" customFormat="false" ht="78" hidden="false" customHeight="true" outlineLevel="0" collapsed="false">
      <c r="A33" s="22" t="s">
        <v>1630</v>
      </c>
      <c r="B33" s="22" t="s">
        <v>886</v>
      </c>
      <c r="C33" s="22" t="s">
        <v>1599</v>
      </c>
      <c r="D33" s="22" t="s">
        <v>1600</v>
      </c>
      <c r="E33" s="35" t="s">
        <v>887</v>
      </c>
      <c r="F33" s="23" t="n">
        <v>46271</v>
      </c>
      <c r="G33" s="22" t="s">
        <v>1601</v>
      </c>
    </row>
    <row r="34" customFormat="false" ht="78" hidden="false" customHeight="true" outlineLevel="0" collapsed="false">
      <c r="A34" s="22" t="s">
        <v>1631</v>
      </c>
      <c r="B34" s="22" t="s">
        <v>923</v>
      </c>
      <c r="C34" s="22" t="s">
        <v>1599</v>
      </c>
      <c r="D34" s="22" t="s">
        <v>1600</v>
      </c>
      <c r="E34" s="35" t="s">
        <v>924</v>
      </c>
      <c r="F34" s="23" t="n">
        <v>46271</v>
      </c>
      <c r="G34" s="22" t="s">
        <v>1601</v>
      </c>
    </row>
    <row r="35" customFormat="false" ht="78" hidden="false" customHeight="true" outlineLevel="0" collapsed="false">
      <c r="A35" s="22" t="s">
        <v>1632</v>
      </c>
      <c r="B35" s="22" t="s">
        <v>1633</v>
      </c>
      <c r="C35" s="22" t="s">
        <v>1599</v>
      </c>
      <c r="D35" s="22" t="s">
        <v>1600</v>
      </c>
      <c r="E35" s="35" t="s">
        <v>1634</v>
      </c>
      <c r="F35" s="23" t="n">
        <v>46271</v>
      </c>
      <c r="G35" s="22" t="s">
        <v>1601</v>
      </c>
    </row>
    <row r="36" customFormat="false" ht="78" hidden="false" customHeight="true" outlineLevel="0" collapsed="false">
      <c r="A36" s="22" t="s">
        <v>1635</v>
      </c>
      <c r="B36" s="22" t="s">
        <v>1636</v>
      </c>
      <c r="C36" s="22" t="s">
        <v>1599</v>
      </c>
      <c r="D36" s="22" t="s">
        <v>1600</v>
      </c>
      <c r="E36" s="35" t="s">
        <v>1637</v>
      </c>
      <c r="F36" s="23" t="n">
        <v>46271</v>
      </c>
      <c r="G36" s="22" t="s">
        <v>1601</v>
      </c>
    </row>
    <row r="37" customFormat="false" ht="78" hidden="false" customHeight="true" outlineLevel="0" collapsed="false">
      <c r="A37" s="22" t="s">
        <v>1638</v>
      </c>
      <c r="B37" s="22" t="s">
        <v>1639</v>
      </c>
      <c r="C37" s="22" t="s">
        <v>1599</v>
      </c>
      <c r="D37" s="22" t="s">
        <v>1600</v>
      </c>
      <c r="E37" s="35" t="s">
        <v>1640</v>
      </c>
      <c r="F37" s="23" t="n">
        <v>46271</v>
      </c>
      <c r="G37" s="22" t="s">
        <v>1601</v>
      </c>
    </row>
    <row r="38" customFormat="false" ht="78" hidden="false" customHeight="true" outlineLevel="0" collapsed="false">
      <c r="A38" s="22" t="s">
        <v>1641</v>
      </c>
      <c r="B38" s="22" t="s">
        <v>962</v>
      </c>
      <c r="C38" s="22" t="s">
        <v>1599</v>
      </c>
      <c r="D38" s="22" t="s">
        <v>1600</v>
      </c>
      <c r="E38" s="35" t="s">
        <v>963</v>
      </c>
      <c r="F38" s="23" t="n">
        <v>46271</v>
      </c>
      <c r="G38" s="22" t="s">
        <v>1601</v>
      </c>
    </row>
    <row r="39" customFormat="false" ht="78" hidden="false" customHeight="true" outlineLevel="0" collapsed="false">
      <c r="A39" s="22" t="s">
        <v>1642</v>
      </c>
      <c r="B39" s="22" t="s">
        <v>693</v>
      </c>
      <c r="C39" s="22" t="s">
        <v>1599</v>
      </c>
      <c r="D39" s="22" t="s">
        <v>1600</v>
      </c>
      <c r="E39" s="35" t="s">
        <v>694</v>
      </c>
      <c r="F39" s="23" t="n">
        <v>46271</v>
      </c>
      <c r="G39" s="22" t="s">
        <v>1601</v>
      </c>
    </row>
    <row r="40" customFormat="false" ht="78" hidden="false" customHeight="true" outlineLevel="0" collapsed="false">
      <c r="A40" s="22" t="s">
        <v>1643</v>
      </c>
      <c r="B40" s="22" t="s">
        <v>794</v>
      </c>
      <c r="C40" s="22" t="s">
        <v>1599</v>
      </c>
      <c r="D40" s="22" t="s">
        <v>1600</v>
      </c>
      <c r="E40" s="35" t="s">
        <v>795</v>
      </c>
      <c r="F40" s="23" t="n">
        <v>46271</v>
      </c>
      <c r="G40" s="22" t="s">
        <v>1601</v>
      </c>
    </row>
    <row r="41" customFormat="false" ht="78" hidden="false" customHeight="true" outlineLevel="0" collapsed="false">
      <c r="A41" s="22" t="s">
        <v>1644</v>
      </c>
      <c r="B41" s="22" t="s">
        <v>1001</v>
      </c>
      <c r="C41" s="22" t="s">
        <v>1599</v>
      </c>
      <c r="D41" s="22" t="s">
        <v>1600</v>
      </c>
      <c r="E41" s="35" t="s">
        <v>1002</v>
      </c>
      <c r="F41" s="23" t="n">
        <v>46271</v>
      </c>
      <c r="G41" s="22" t="s">
        <v>1601</v>
      </c>
    </row>
    <row r="42" customFormat="false" ht="78" hidden="false" customHeight="true" outlineLevel="0" collapsed="false">
      <c r="A42" s="22" t="s">
        <v>1645</v>
      </c>
      <c r="B42" s="22" t="s">
        <v>991</v>
      </c>
      <c r="C42" s="22" t="s">
        <v>1599</v>
      </c>
      <c r="D42" s="22" t="s">
        <v>1600</v>
      </c>
      <c r="E42" s="35" t="s">
        <v>992</v>
      </c>
      <c r="F42" s="23" t="n">
        <v>46271</v>
      </c>
      <c r="G42" s="22" t="s">
        <v>1601</v>
      </c>
    </row>
    <row r="43" customFormat="false" ht="78" hidden="false" customHeight="true" outlineLevel="0" collapsed="false">
      <c r="A43" s="22" t="s">
        <v>1646</v>
      </c>
      <c r="B43" s="22" t="s">
        <v>1647</v>
      </c>
      <c r="C43" s="22" t="s">
        <v>1599</v>
      </c>
      <c r="D43" s="22" t="s">
        <v>1600</v>
      </c>
      <c r="E43" s="35" t="s">
        <v>1648</v>
      </c>
      <c r="F43" s="23" t="n">
        <v>46271</v>
      </c>
      <c r="G43" s="22" t="s">
        <v>1601</v>
      </c>
    </row>
    <row r="44" customFormat="false" ht="78" hidden="false" customHeight="true" outlineLevel="0" collapsed="false">
      <c r="A44" s="22" t="s">
        <v>1649</v>
      </c>
      <c r="B44" s="22" t="s">
        <v>1047</v>
      </c>
      <c r="C44" s="22" t="s">
        <v>1599</v>
      </c>
      <c r="D44" s="22" t="s">
        <v>1600</v>
      </c>
      <c r="E44" s="35" t="s">
        <v>1048</v>
      </c>
      <c r="F44" s="23" t="n">
        <v>46271</v>
      </c>
      <c r="G44" s="22" t="s">
        <v>1601</v>
      </c>
    </row>
    <row r="45" customFormat="false" ht="78" hidden="false" customHeight="true" outlineLevel="0" collapsed="false">
      <c r="A45" s="22" t="s">
        <v>1650</v>
      </c>
      <c r="B45" s="22" t="s">
        <v>1253</v>
      </c>
      <c r="C45" s="22" t="s">
        <v>1599</v>
      </c>
      <c r="D45" s="22" t="s">
        <v>1600</v>
      </c>
      <c r="E45" s="35" t="s">
        <v>1254</v>
      </c>
      <c r="F45" s="23" t="n">
        <v>46271</v>
      </c>
      <c r="G45" s="22" t="s">
        <v>1601</v>
      </c>
    </row>
    <row r="46" customFormat="false" ht="78" hidden="false" customHeight="true" outlineLevel="0" collapsed="false">
      <c r="A46" s="22" t="s">
        <v>1651</v>
      </c>
      <c r="B46" s="22" t="s">
        <v>1083</v>
      </c>
      <c r="C46" s="22" t="s">
        <v>1599</v>
      </c>
      <c r="D46" s="22" t="s">
        <v>1600</v>
      </c>
      <c r="E46" s="35" t="s">
        <v>1084</v>
      </c>
      <c r="F46" s="23" t="n">
        <v>46271</v>
      </c>
      <c r="G46" s="22" t="s">
        <v>1601</v>
      </c>
    </row>
    <row r="47" customFormat="false" ht="78" hidden="false" customHeight="true" outlineLevel="0" collapsed="false">
      <c r="A47" s="22" t="s">
        <v>1652</v>
      </c>
      <c r="B47" s="22" t="s">
        <v>1117</v>
      </c>
      <c r="C47" s="22" t="s">
        <v>1599</v>
      </c>
      <c r="D47" s="22" t="s">
        <v>1600</v>
      </c>
      <c r="E47" s="35" t="s">
        <v>1118</v>
      </c>
      <c r="F47" s="23" t="n">
        <v>46271</v>
      </c>
      <c r="G47" s="22" t="s">
        <v>1601</v>
      </c>
    </row>
    <row r="48" customFormat="false" ht="78" hidden="false" customHeight="true" outlineLevel="0" collapsed="false">
      <c r="A48" s="22" t="s">
        <v>1653</v>
      </c>
      <c r="B48" s="22" t="s">
        <v>1058</v>
      </c>
      <c r="C48" s="22" t="s">
        <v>1599</v>
      </c>
      <c r="D48" s="22" t="s">
        <v>1600</v>
      </c>
      <c r="E48" s="35" t="s">
        <v>1059</v>
      </c>
      <c r="F48" s="23" t="n">
        <v>46271</v>
      </c>
      <c r="G48" s="22" t="s">
        <v>1601</v>
      </c>
    </row>
    <row r="49" customFormat="false" ht="78" hidden="false" customHeight="true" outlineLevel="0" collapsed="false">
      <c r="A49" s="22" t="s">
        <v>1654</v>
      </c>
      <c r="B49" s="22" t="s">
        <v>1655</v>
      </c>
      <c r="C49" s="22" t="s">
        <v>1599</v>
      </c>
      <c r="D49" s="22" t="s">
        <v>1600</v>
      </c>
      <c r="E49" s="35" t="s">
        <v>1656</v>
      </c>
      <c r="F49" s="23" t="n">
        <v>46271</v>
      </c>
      <c r="G49" s="22" t="s">
        <v>1601</v>
      </c>
    </row>
    <row r="50" customFormat="false" ht="78" hidden="false" customHeight="true" outlineLevel="0" collapsed="false">
      <c r="A50" s="22" t="s">
        <v>1657</v>
      </c>
      <c r="B50" s="22" t="s">
        <v>1069</v>
      </c>
      <c r="C50" s="22" t="s">
        <v>1599</v>
      </c>
      <c r="D50" s="22" t="s">
        <v>1600</v>
      </c>
      <c r="E50" s="35" t="s">
        <v>1070</v>
      </c>
      <c r="F50" s="23" t="n">
        <v>46271</v>
      </c>
      <c r="G50" s="22" t="s">
        <v>1601</v>
      </c>
    </row>
    <row r="51" customFormat="false" ht="78" hidden="false" customHeight="true" outlineLevel="0" collapsed="false">
      <c r="A51" s="22" t="s">
        <v>1658</v>
      </c>
      <c r="B51" s="22" t="s">
        <v>582</v>
      </c>
      <c r="C51" s="22" t="s">
        <v>1599</v>
      </c>
      <c r="D51" s="22" t="s">
        <v>1600</v>
      </c>
      <c r="E51" s="35" t="s">
        <v>583</v>
      </c>
      <c r="F51" s="23" t="n">
        <v>46271</v>
      </c>
      <c r="G51" s="22" t="s">
        <v>1601</v>
      </c>
    </row>
    <row r="52" customFormat="false" ht="78" hidden="false" customHeight="true" outlineLevel="0" collapsed="false">
      <c r="A52" s="22" t="s">
        <v>1659</v>
      </c>
      <c r="B52" s="22" t="s">
        <v>1138</v>
      </c>
      <c r="C52" s="22" t="s">
        <v>1599</v>
      </c>
      <c r="D52" s="22" t="s">
        <v>1600</v>
      </c>
      <c r="E52" s="35" t="s">
        <v>1139</v>
      </c>
      <c r="F52" s="23" t="n">
        <v>46271</v>
      </c>
      <c r="G52" s="22" t="s">
        <v>1601</v>
      </c>
    </row>
    <row r="53" customFormat="false" ht="78" hidden="false" customHeight="true" outlineLevel="0" collapsed="false">
      <c r="A53" s="22" t="s">
        <v>1660</v>
      </c>
      <c r="B53" s="22" t="s">
        <v>1295</v>
      </c>
      <c r="C53" s="22" t="s">
        <v>1599</v>
      </c>
      <c r="D53" s="22" t="s">
        <v>1600</v>
      </c>
      <c r="E53" s="35" t="s">
        <v>1296</v>
      </c>
      <c r="F53" s="23" t="n">
        <v>46271</v>
      </c>
      <c r="G53" s="22" t="s">
        <v>1601</v>
      </c>
    </row>
    <row r="54" customFormat="false" ht="78" hidden="false" customHeight="true" outlineLevel="0" collapsed="false">
      <c r="A54" s="22" t="s">
        <v>1661</v>
      </c>
      <c r="B54" s="22" t="s">
        <v>1179</v>
      </c>
      <c r="C54" s="22" t="s">
        <v>1599</v>
      </c>
      <c r="D54" s="22" t="s">
        <v>1600</v>
      </c>
      <c r="E54" s="35" t="s">
        <v>1180</v>
      </c>
      <c r="F54" s="23" t="n">
        <v>46271</v>
      </c>
      <c r="G54" s="22" t="s">
        <v>1601</v>
      </c>
    </row>
    <row r="55" customFormat="false" ht="78" hidden="false" customHeight="true" outlineLevel="0" collapsed="false">
      <c r="A55" s="22" t="s">
        <v>1662</v>
      </c>
      <c r="B55" s="22" t="s">
        <v>1166</v>
      </c>
      <c r="C55" s="22" t="s">
        <v>1599</v>
      </c>
      <c r="D55" s="22" t="s">
        <v>1600</v>
      </c>
      <c r="E55" s="35" t="s">
        <v>1167</v>
      </c>
      <c r="F55" s="23" t="n">
        <v>46271</v>
      </c>
      <c r="G55" s="22" t="s">
        <v>1601</v>
      </c>
    </row>
    <row r="56" customFormat="false" ht="78" hidden="false" customHeight="true" outlineLevel="0" collapsed="false">
      <c r="A56" s="22" t="s">
        <v>1663</v>
      </c>
      <c r="B56" s="22" t="s">
        <v>1367</v>
      </c>
      <c r="C56" s="22" t="s">
        <v>1599</v>
      </c>
      <c r="D56" s="22" t="s">
        <v>1600</v>
      </c>
      <c r="E56" s="35" t="s">
        <v>1368</v>
      </c>
      <c r="F56" s="23" t="n">
        <v>46271</v>
      </c>
      <c r="G56" s="22" t="s">
        <v>1601</v>
      </c>
    </row>
    <row r="57" customFormat="false" ht="78" hidden="false" customHeight="true" outlineLevel="0" collapsed="false">
      <c r="A57" s="22" t="s">
        <v>1664</v>
      </c>
      <c r="B57" s="22" t="s">
        <v>337</v>
      </c>
      <c r="C57" s="22" t="s">
        <v>1665</v>
      </c>
      <c r="D57" s="22" t="s">
        <v>1666</v>
      </c>
      <c r="E57" s="35" t="s">
        <v>338</v>
      </c>
      <c r="F57" s="23" t="n">
        <v>46271</v>
      </c>
      <c r="G57" s="22" t="s">
        <v>1667</v>
      </c>
    </row>
    <row r="58" customFormat="false" ht="78" hidden="false" customHeight="true" outlineLevel="0" collapsed="false">
      <c r="A58" s="22" t="s">
        <v>1668</v>
      </c>
      <c r="B58" s="22" t="s">
        <v>988</v>
      </c>
      <c r="C58" s="22" t="s">
        <v>1665</v>
      </c>
      <c r="D58" s="22" t="s">
        <v>1666</v>
      </c>
      <c r="E58" s="35" t="s">
        <v>989</v>
      </c>
      <c r="F58" s="23" t="n">
        <v>46271</v>
      </c>
      <c r="G58" s="22" t="s">
        <v>1667</v>
      </c>
    </row>
    <row r="59" customFormat="false" ht="78" hidden="false" customHeight="true" outlineLevel="0" collapsed="false">
      <c r="A59" s="22" t="s">
        <v>1669</v>
      </c>
      <c r="B59" s="22" t="s">
        <v>326</v>
      </c>
      <c r="C59" s="22" t="s">
        <v>1665</v>
      </c>
      <c r="D59" s="22" t="s">
        <v>1666</v>
      </c>
      <c r="E59" s="35" t="s">
        <v>327</v>
      </c>
      <c r="F59" s="23" t="n">
        <v>46271</v>
      </c>
      <c r="G59" s="22" t="s">
        <v>1667</v>
      </c>
    </row>
    <row r="60" customFormat="false" ht="78" hidden="false" customHeight="true" outlineLevel="0" collapsed="false">
      <c r="A60" s="22" t="s">
        <v>1670</v>
      </c>
      <c r="B60" s="22" t="s">
        <v>1080</v>
      </c>
      <c r="C60" s="22" t="s">
        <v>1665</v>
      </c>
      <c r="D60" s="22" t="s">
        <v>1666</v>
      </c>
      <c r="E60" s="35" t="s">
        <v>1081</v>
      </c>
      <c r="F60" s="23" t="n">
        <v>46271</v>
      </c>
      <c r="G60" s="22" t="s">
        <v>1667</v>
      </c>
    </row>
    <row r="61" customFormat="false" ht="78" hidden="false" customHeight="true" outlineLevel="0" collapsed="false">
      <c r="A61" s="22" t="s">
        <v>1671</v>
      </c>
      <c r="B61" s="22" t="s">
        <v>442</v>
      </c>
      <c r="C61" s="22" t="s">
        <v>1665</v>
      </c>
      <c r="D61" s="22" t="s">
        <v>1666</v>
      </c>
      <c r="E61" s="35" t="s">
        <v>443</v>
      </c>
      <c r="F61" s="23" t="n">
        <v>46271</v>
      </c>
      <c r="G61" s="22" t="s">
        <v>1667</v>
      </c>
    </row>
    <row r="62" customFormat="false" ht="78" hidden="false" customHeight="true" outlineLevel="0" collapsed="false">
      <c r="A62" s="22" t="s">
        <v>1672</v>
      </c>
      <c r="B62" s="22" t="s">
        <v>416</v>
      </c>
      <c r="C62" s="22" t="s">
        <v>1665</v>
      </c>
      <c r="D62" s="22" t="s">
        <v>1666</v>
      </c>
      <c r="E62" s="35" t="s">
        <v>417</v>
      </c>
      <c r="F62" s="23" t="n">
        <v>46271</v>
      </c>
      <c r="G62" s="22" t="s">
        <v>1667</v>
      </c>
    </row>
    <row r="63" customFormat="false" ht="78" hidden="false" customHeight="true" outlineLevel="0" collapsed="false">
      <c r="A63" s="22" t="s">
        <v>1673</v>
      </c>
      <c r="B63" s="22" t="s">
        <v>510</v>
      </c>
      <c r="C63" s="22" t="s">
        <v>1665</v>
      </c>
      <c r="D63" s="22" t="s">
        <v>1666</v>
      </c>
      <c r="E63" s="35" t="s">
        <v>511</v>
      </c>
      <c r="F63" s="23" t="n">
        <v>46271</v>
      </c>
      <c r="G63" s="22" t="s">
        <v>1667</v>
      </c>
    </row>
    <row r="64" customFormat="false" ht="78" hidden="false" customHeight="true" outlineLevel="0" collapsed="false">
      <c r="A64" s="22" t="s">
        <v>1674</v>
      </c>
      <c r="B64" s="22" t="s">
        <v>461</v>
      </c>
      <c r="C64" s="22" t="s">
        <v>1665</v>
      </c>
      <c r="D64" s="22" t="s">
        <v>1666</v>
      </c>
      <c r="E64" s="35" t="s">
        <v>462</v>
      </c>
      <c r="F64" s="23" t="n">
        <v>46271</v>
      </c>
      <c r="G64" s="22" t="s">
        <v>1667</v>
      </c>
    </row>
    <row r="65" customFormat="false" ht="78" hidden="false" customHeight="true" outlineLevel="0" collapsed="false">
      <c r="A65" s="22" t="s">
        <v>1675</v>
      </c>
      <c r="B65" s="22" t="s">
        <v>429</v>
      </c>
      <c r="C65" s="22" t="s">
        <v>1665</v>
      </c>
      <c r="D65" s="22" t="s">
        <v>1666</v>
      </c>
      <c r="E65" s="35" t="s">
        <v>430</v>
      </c>
      <c r="F65" s="23" t="n">
        <v>46271</v>
      </c>
      <c r="G65" s="22" t="s">
        <v>1667</v>
      </c>
    </row>
    <row r="66" customFormat="false" ht="78" hidden="false" customHeight="true" outlineLevel="0" collapsed="false">
      <c r="A66" s="22" t="s">
        <v>1676</v>
      </c>
      <c r="B66" s="22" t="s">
        <v>261</v>
      </c>
      <c r="C66" s="22" t="s">
        <v>1665</v>
      </c>
      <c r="D66" s="22" t="s">
        <v>1666</v>
      </c>
      <c r="E66" s="35" t="s">
        <v>262</v>
      </c>
      <c r="F66" s="23" t="n">
        <v>46271</v>
      </c>
      <c r="G66" s="22" t="s">
        <v>1667</v>
      </c>
    </row>
    <row r="67" customFormat="false" ht="78" hidden="false" customHeight="true" outlineLevel="0" collapsed="false">
      <c r="A67" s="22" t="s">
        <v>1677</v>
      </c>
      <c r="B67" s="22" t="s">
        <v>302</v>
      </c>
      <c r="C67" s="22" t="s">
        <v>1665</v>
      </c>
      <c r="D67" s="22" t="s">
        <v>1666</v>
      </c>
      <c r="E67" s="35" t="s">
        <v>303</v>
      </c>
      <c r="F67" s="23" t="n">
        <v>46271</v>
      </c>
      <c r="G67" s="22" t="s">
        <v>1667</v>
      </c>
    </row>
    <row r="68" customFormat="false" ht="78" hidden="false" customHeight="true" outlineLevel="0" collapsed="false">
      <c r="A68" s="22" t="s">
        <v>1678</v>
      </c>
      <c r="B68" s="22" t="s">
        <v>403</v>
      </c>
      <c r="C68" s="22" t="s">
        <v>1665</v>
      </c>
      <c r="D68" s="22" t="s">
        <v>1666</v>
      </c>
      <c r="E68" s="35" t="s">
        <v>404</v>
      </c>
      <c r="F68" s="23" t="n">
        <v>46271</v>
      </c>
      <c r="G68" s="22" t="s">
        <v>1667</v>
      </c>
    </row>
    <row r="69" customFormat="false" ht="78" hidden="false" customHeight="true" outlineLevel="0" collapsed="false">
      <c r="A69" s="22" t="s">
        <v>1679</v>
      </c>
      <c r="B69" s="22" t="s">
        <v>605</v>
      </c>
      <c r="C69" s="22" t="s">
        <v>1665</v>
      </c>
      <c r="D69" s="22" t="s">
        <v>1666</v>
      </c>
      <c r="E69" s="35" t="s">
        <v>606</v>
      </c>
      <c r="F69" s="23" t="n">
        <v>46271</v>
      </c>
      <c r="G69" s="22" t="s">
        <v>1667</v>
      </c>
    </row>
    <row r="70" customFormat="false" ht="78" hidden="false" customHeight="true" outlineLevel="0" collapsed="false">
      <c r="A70" s="22" t="s">
        <v>1680</v>
      </c>
      <c r="B70" s="22" t="s">
        <v>733</v>
      </c>
      <c r="C70" s="22" t="s">
        <v>1665</v>
      </c>
      <c r="D70" s="22" t="s">
        <v>1681</v>
      </c>
      <c r="E70" s="35" t="s">
        <v>734</v>
      </c>
      <c r="F70" s="23" t="n">
        <v>46271</v>
      </c>
      <c r="G70" s="22" t="s">
        <v>1667</v>
      </c>
    </row>
    <row r="71" customFormat="false" ht="78" hidden="false" customHeight="true" outlineLevel="0" collapsed="false">
      <c r="A71" s="22" t="s">
        <v>1682</v>
      </c>
      <c r="B71" s="22" t="s">
        <v>723</v>
      </c>
      <c r="C71" s="22" t="s">
        <v>1665</v>
      </c>
      <c r="D71" s="22" t="s">
        <v>1681</v>
      </c>
      <c r="E71" s="35" t="s">
        <v>724</v>
      </c>
      <c r="F71" s="23" t="n">
        <v>46271</v>
      </c>
      <c r="G71" s="22" t="s">
        <v>1667</v>
      </c>
    </row>
    <row r="72" customFormat="false" ht="78" hidden="false" customHeight="true" outlineLevel="0" collapsed="false">
      <c r="A72" s="22" t="s">
        <v>1683</v>
      </c>
      <c r="B72" s="22" t="s">
        <v>390</v>
      </c>
      <c r="C72" s="22" t="s">
        <v>1665</v>
      </c>
      <c r="D72" s="22" t="s">
        <v>1681</v>
      </c>
      <c r="E72" s="35" t="s">
        <v>391</v>
      </c>
      <c r="F72" s="23" t="n">
        <v>46271</v>
      </c>
      <c r="G72" s="22" t="s">
        <v>1667</v>
      </c>
    </row>
    <row r="73" customFormat="false" ht="78" hidden="false" customHeight="true" outlineLevel="0" collapsed="false">
      <c r="A73" s="22" t="s">
        <v>1684</v>
      </c>
      <c r="B73" s="22" t="s">
        <v>378</v>
      </c>
      <c r="C73" s="22" t="s">
        <v>1665</v>
      </c>
      <c r="D73" s="22" t="s">
        <v>1681</v>
      </c>
      <c r="E73" s="35" t="s">
        <v>379</v>
      </c>
      <c r="F73" s="23" t="n">
        <v>46271</v>
      </c>
      <c r="G73" s="22" t="s">
        <v>1667</v>
      </c>
    </row>
    <row r="74" customFormat="false" ht="78" hidden="false" customHeight="true" outlineLevel="0" collapsed="false">
      <c r="A74" s="22" t="s">
        <v>1685</v>
      </c>
      <c r="B74" s="22" t="s">
        <v>1176</v>
      </c>
      <c r="C74" s="22" t="s">
        <v>1665</v>
      </c>
      <c r="D74" s="22" t="s">
        <v>1681</v>
      </c>
      <c r="E74" s="35" t="s">
        <v>1177</v>
      </c>
      <c r="F74" s="23" t="n">
        <v>46271</v>
      </c>
      <c r="G74" s="22" t="s">
        <v>1667</v>
      </c>
    </row>
    <row r="75" customFormat="false" ht="78" hidden="false" customHeight="true" outlineLevel="0" collapsed="false">
      <c r="A75" s="22" t="s">
        <v>1686</v>
      </c>
      <c r="B75" s="22" t="s">
        <v>783</v>
      </c>
      <c r="C75" s="22" t="s">
        <v>1665</v>
      </c>
      <c r="D75" s="22" t="s">
        <v>1681</v>
      </c>
      <c r="E75" s="35" t="s">
        <v>784</v>
      </c>
      <c r="F75" s="23" t="n">
        <v>46271</v>
      </c>
      <c r="G75" s="22" t="s">
        <v>1667</v>
      </c>
    </row>
    <row r="76" customFormat="false" ht="78" hidden="false" customHeight="true" outlineLevel="0" collapsed="false">
      <c r="A76" s="22" t="s">
        <v>1687</v>
      </c>
      <c r="B76" s="22" t="s">
        <v>592</v>
      </c>
      <c r="C76" s="22" t="s">
        <v>1665</v>
      </c>
      <c r="D76" s="22" t="s">
        <v>1681</v>
      </c>
      <c r="E76" s="35" t="s">
        <v>593</v>
      </c>
      <c r="F76" s="23" t="n">
        <v>46271</v>
      </c>
      <c r="G76" s="22" t="s">
        <v>1667</v>
      </c>
    </row>
    <row r="77" customFormat="false" ht="78" hidden="false" customHeight="true" outlineLevel="0" collapsed="false">
      <c r="A77" s="22" t="s">
        <v>1688</v>
      </c>
      <c r="B77" s="22" t="s">
        <v>529</v>
      </c>
      <c r="C77" s="22" t="s">
        <v>1665</v>
      </c>
      <c r="D77" s="22" t="s">
        <v>1681</v>
      </c>
      <c r="E77" s="35" t="s">
        <v>530</v>
      </c>
      <c r="F77" s="23" t="n">
        <v>46271</v>
      </c>
      <c r="G77" s="22" t="s">
        <v>1667</v>
      </c>
    </row>
    <row r="78" customFormat="false" ht="78" hidden="false" customHeight="true" outlineLevel="0" collapsed="false">
      <c r="A78" s="22" t="s">
        <v>1689</v>
      </c>
      <c r="B78" s="22" t="s">
        <v>770</v>
      </c>
      <c r="C78" s="22" t="s">
        <v>1665</v>
      </c>
      <c r="D78" s="22" t="s">
        <v>1681</v>
      </c>
      <c r="E78" s="35" t="s">
        <v>771</v>
      </c>
      <c r="F78" s="23" t="n">
        <v>46271</v>
      </c>
      <c r="G78" s="22" t="s">
        <v>1667</v>
      </c>
    </row>
    <row r="79" customFormat="false" ht="78" hidden="false" customHeight="true" outlineLevel="0" collapsed="false">
      <c r="A79" s="22" t="s">
        <v>1690</v>
      </c>
      <c r="B79" s="22" t="s">
        <v>920</v>
      </c>
      <c r="C79" s="22" t="s">
        <v>1665</v>
      </c>
      <c r="D79" s="22" t="s">
        <v>1681</v>
      </c>
      <c r="E79" s="35" t="s">
        <v>921</v>
      </c>
      <c r="F79" s="23" t="n">
        <v>46271</v>
      </c>
      <c r="G79" s="22" t="s">
        <v>1667</v>
      </c>
    </row>
    <row r="80" customFormat="false" ht="78" hidden="false" customHeight="true" outlineLevel="0" collapsed="false">
      <c r="A80" s="22" t="s">
        <v>1691</v>
      </c>
      <c r="B80" s="22" t="s">
        <v>1400</v>
      </c>
      <c r="C80" s="22" t="s">
        <v>1665</v>
      </c>
      <c r="D80" s="22" t="s">
        <v>1681</v>
      </c>
      <c r="E80" s="35" t="s">
        <v>1401</v>
      </c>
      <c r="F80" s="23" t="n">
        <v>46271</v>
      </c>
      <c r="G80" s="22" t="s">
        <v>1667</v>
      </c>
    </row>
    <row r="81" customFormat="false" ht="78" hidden="false" customHeight="true" outlineLevel="0" collapsed="false">
      <c r="A81" s="22" t="s">
        <v>1692</v>
      </c>
      <c r="B81" s="22" t="s">
        <v>1340</v>
      </c>
      <c r="C81" s="22" t="s">
        <v>1665</v>
      </c>
      <c r="D81" s="22" t="s">
        <v>1681</v>
      </c>
      <c r="E81" s="35" t="s">
        <v>1341</v>
      </c>
      <c r="F81" s="23" t="n">
        <v>46271</v>
      </c>
      <c r="G81" s="22" t="s">
        <v>1667</v>
      </c>
    </row>
    <row r="82" customFormat="false" ht="78" hidden="false" customHeight="true" outlineLevel="0" collapsed="false">
      <c r="A82" s="22" t="s">
        <v>1693</v>
      </c>
      <c r="B82" s="22" t="s">
        <v>1206</v>
      </c>
      <c r="C82" s="22" t="s">
        <v>1665</v>
      </c>
      <c r="D82" s="22" t="s">
        <v>1681</v>
      </c>
      <c r="E82" s="35" t="s">
        <v>1207</v>
      </c>
      <c r="F82" s="23" t="n">
        <v>46271</v>
      </c>
      <c r="G82" s="22" t="s">
        <v>1667</v>
      </c>
    </row>
    <row r="83" customFormat="false" ht="78" hidden="false" customHeight="true" outlineLevel="0" collapsed="false">
      <c r="A83" s="22" t="s">
        <v>1694</v>
      </c>
      <c r="B83" s="22" t="s">
        <v>1019</v>
      </c>
      <c r="C83" s="22" t="s">
        <v>1665</v>
      </c>
      <c r="D83" s="22" t="s">
        <v>1681</v>
      </c>
      <c r="E83" s="35" t="s">
        <v>1020</v>
      </c>
      <c r="F83" s="23" t="n">
        <v>46271</v>
      </c>
      <c r="G83" s="22" t="s">
        <v>1667</v>
      </c>
    </row>
    <row r="84" customFormat="false" ht="78" hidden="false" customHeight="true" outlineLevel="0" collapsed="false">
      <c r="A84" s="22" t="s">
        <v>1695</v>
      </c>
      <c r="B84" s="22" t="s">
        <v>1188</v>
      </c>
      <c r="C84" s="22" t="s">
        <v>1665</v>
      </c>
      <c r="D84" s="22" t="s">
        <v>1681</v>
      </c>
      <c r="E84" s="35" t="s">
        <v>1189</v>
      </c>
      <c r="F84" s="23" t="n">
        <v>46271</v>
      </c>
      <c r="G84" s="22" t="s">
        <v>1667</v>
      </c>
    </row>
    <row r="85" customFormat="false" ht="78" hidden="false" customHeight="true" outlineLevel="0" collapsed="false">
      <c r="A85" s="22" t="s">
        <v>1696</v>
      </c>
      <c r="B85" s="22" t="s">
        <v>1217</v>
      </c>
      <c r="C85" s="22" t="s">
        <v>1665</v>
      </c>
      <c r="D85" s="22" t="s">
        <v>1681</v>
      </c>
      <c r="E85" s="35" t="s">
        <v>1218</v>
      </c>
      <c r="F85" s="23" t="n">
        <v>46271</v>
      </c>
      <c r="G85" s="22" t="s">
        <v>1667</v>
      </c>
    </row>
    <row r="86" customFormat="false" ht="78" hidden="false" customHeight="true" outlineLevel="0" collapsed="false">
      <c r="A86" s="22" t="s">
        <v>1697</v>
      </c>
      <c r="B86" s="22" t="s">
        <v>1329</v>
      </c>
      <c r="C86" s="22" t="s">
        <v>1665</v>
      </c>
      <c r="D86" s="22" t="s">
        <v>1681</v>
      </c>
      <c r="E86" s="35" t="s">
        <v>1330</v>
      </c>
      <c r="F86" s="23" t="n">
        <v>46271</v>
      </c>
      <c r="G86" s="22" t="s">
        <v>1667</v>
      </c>
    </row>
    <row r="87" customFormat="false" ht="78" hidden="false" customHeight="true" outlineLevel="0" collapsed="false">
      <c r="A87" s="22" t="s">
        <v>1698</v>
      </c>
      <c r="B87" s="22" t="s">
        <v>250</v>
      </c>
      <c r="C87" s="22" t="s">
        <v>1665</v>
      </c>
      <c r="D87" s="22" t="s">
        <v>1666</v>
      </c>
      <c r="E87" s="35" t="s">
        <v>251</v>
      </c>
      <c r="F87" s="23" t="n">
        <v>46271</v>
      </c>
      <c r="G87" s="22" t="s">
        <v>1667</v>
      </c>
    </row>
    <row r="88" customFormat="false" ht="78" hidden="false" customHeight="true" outlineLevel="0" collapsed="false">
      <c r="A88" s="22" t="s">
        <v>1699</v>
      </c>
      <c r="B88" s="22" t="s">
        <v>845</v>
      </c>
      <c r="C88" s="22" t="s">
        <v>1665</v>
      </c>
      <c r="D88" s="22" t="s">
        <v>1666</v>
      </c>
      <c r="E88" s="35" t="s">
        <v>846</v>
      </c>
      <c r="F88" s="23" t="n">
        <v>46271</v>
      </c>
      <c r="G88" s="22" t="s">
        <v>1667</v>
      </c>
    </row>
    <row r="89" customFormat="false" ht="78" hidden="false" customHeight="true" outlineLevel="0" collapsed="false">
      <c r="A89" s="22" t="s">
        <v>1700</v>
      </c>
      <c r="B89" s="22" t="s">
        <v>626</v>
      </c>
      <c r="C89" s="22" t="s">
        <v>1665</v>
      </c>
      <c r="D89" s="22" t="s">
        <v>1666</v>
      </c>
      <c r="E89" s="35" t="s">
        <v>627</v>
      </c>
      <c r="F89" s="23" t="n">
        <v>46271</v>
      </c>
      <c r="G89" s="22" t="s">
        <v>1667</v>
      </c>
    </row>
    <row r="90" customFormat="false" ht="78" hidden="false" customHeight="true" outlineLevel="0" collapsed="false">
      <c r="A90" s="22" t="s">
        <v>1701</v>
      </c>
      <c r="B90" s="22" t="s">
        <v>1135</v>
      </c>
      <c r="C90" s="22" t="s">
        <v>1665</v>
      </c>
      <c r="D90" s="22" t="s">
        <v>1666</v>
      </c>
      <c r="E90" s="35" t="s">
        <v>1136</v>
      </c>
      <c r="F90" s="23" t="n">
        <v>46271</v>
      </c>
      <c r="G90" s="22" t="s">
        <v>1667</v>
      </c>
    </row>
    <row r="91" customFormat="false" ht="78" hidden="false" customHeight="true" outlineLevel="0" collapsed="false">
      <c r="A91" s="22" t="s">
        <v>1702</v>
      </c>
      <c r="B91" s="22" t="s">
        <v>941</v>
      </c>
      <c r="C91" s="22" t="s">
        <v>1665</v>
      </c>
      <c r="D91" s="22" t="s">
        <v>1666</v>
      </c>
      <c r="E91" s="35" t="s">
        <v>942</v>
      </c>
      <c r="F91" s="23" t="n">
        <v>46271</v>
      </c>
      <c r="G91" s="22" t="s">
        <v>1667</v>
      </c>
    </row>
    <row r="92" customFormat="false" ht="78" hidden="false" customHeight="true" outlineLevel="0" collapsed="false">
      <c r="A92" s="22" t="s">
        <v>1703</v>
      </c>
      <c r="B92" s="22" t="s">
        <v>560</v>
      </c>
      <c r="C92" s="22" t="s">
        <v>1665</v>
      </c>
      <c r="D92" s="22" t="s">
        <v>1666</v>
      </c>
      <c r="E92" s="35" t="s">
        <v>561</v>
      </c>
      <c r="F92" s="23" t="n">
        <v>46271</v>
      </c>
      <c r="G92" s="22" t="s">
        <v>1667</v>
      </c>
    </row>
    <row r="93" customFormat="false" ht="78" hidden="false" customHeight="true" outlineLevel="0" collapsed="false">
      <c r="A93" s="22" t="s">
        <v>1704</v>
      </c>
      <c r="B93" s="22" t="s">
        <v>357</v>
      </c>
      <c r="C93" s="22" t="s">
        <v>1665</v>
      </c>
      <c r="D93" s="22" t="s">
        <v>1666</v>
      </c>
      <c r="E93" s="35" t="s">
        <v>358</v>
      </c>
      <c r="F93" s="23" t="n">
        <v>46271</v>
      </c>
      <c r="G93" s="22" t="s">
        <v>1667</v>
      </c>
    </row>
  </sheetData>
  <mergeCells count="2">
    <mergeCell ref="A1:G2"/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7" min="3" style="0" width="15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48"/>
  </cols>
  <sheetData>
    <row r="1" customFormat="false" ht="25" hidden="false" customHeight="true" outlineLevel="0" collapsed="false">
      <c r="A1" s="1" t="s">
        <v>1705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32" hidden="false" customHeight="true" outlineLevel="0" collapsed="false">
      <c r="A3" s="2" t="s">
        <v>1706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6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26" hidden="false" customHeight="true" outlineLevel="0" collapsed="false">
      <c r="A5" s="14" t="s">
        <v>1707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35" hidden="false" customHeight="true" outlineLevel="0" collapsed="false">
      <c r="A6" s="17" t="s">
        <v>1708</v>
      </c>
      <c r="B6" s="17"/>
      <c r="C6" s="4" t="s">
        <v>1709</v>
      </c>
      <c r="D6" s="4"/>
      <c r="E6" s="4"/>
      <c r="F6" s="4"/>
      <c r="G6" s="4"/>
      <c r="H6" s="4"/>
      <c r="I6" s="4"/>
      <c r="J6" s="4"/>
    </row>
    <row r="7" customFormat="false" ht="35" hidden="false" customHeight="true" outlineLevel="0" collapsed="false">
      <c r="A7" s="17" t="s">
        <v>1710</v>
      </c>
      <c r="B7" s="17"/>
      <c r="C7" s="4" t="s">
        <v>1711</v>
      </c>
      <c r="D7" s="4"/>
      <c r="E7" s="4"/>
      <c r="F7" s="4"/>
      <c r="G7" s="4"/>
      <c r="H7" s="4"/>
      <c r="I7" s="4"/>
      <c r="J7" s="4"/>
    </row>
    <row r="8" customFormat="false" ht="35" hidden="false" customHeight="true" outlineLevel="0" collapsed="false">
      <c r="A8" s="17" t="s">
        <v>59</v>
      </c>
      <c r="B8" s="17"/>
      <c r="C8" s="4" t="s">
        <v>1712</v>
      </c>
      <c r="D8" s="4"/>
      <c r="E8" s="4"/>
      <c r="F8" s="4"/>
      <c r="G8" s="4"/>
      <c r="H8" s="4"/>
      <c r="I8" s="4"/>
      <c r="J8" s="4"/>
    </row>
    <row r="9" customFormat="false" ht="35" hidden="false" customHeight="true" outlineLevel="0" collapsed="false">
      <c r="A9" s="17" t="s">
        <v>58</v>
      </c>
      <c r="B9" s="17"/>
      <c r="C9" s="4" t="s">
        <v>1713</v>
      </c>
      <c r="D9" s="4"/>
      <c r="E9" s="4"/>
      <c r="F9" s="4"/>
      <c r="G9" s="4"/>
      <c r="H9" s="4"/>
      <c r="I9" s="4"/>
      <c r="J9" s="4"/>
    </row>
    <row r="10" customFormat="false" ht="35" hidden="false" customHeight="true" outlineLevel="0" collapsed="false">
      <c r="A10" s="17" t="s">
        <v>1714</v>
      </c>
      <c r="B10" s="17"/>
      <c r="C10" s="4" t="s">
        <v>1715</v>
      </c>
      <c r="D10" s="4"/>
      <c r="E10" s="4"/>
      <c r="F10" s="4"/>
      <c r="G10" s="4"/>
      <c r="H10" s="4"/>
      <c r="I10" s="4"/>
      <c r="J10" s="4"/>
    </row>
    <row r="11" customFormat="false" ht="35" hidden="false" customHeight="true" outlineLevel="0" collapsed="false">
      <c r="A11" s="17" t="s">
        <v>1716</v>
      </c>
      <c r="B11" s="17"/>
      <c r="C11" s="4" t="s">
        <v>1717</v>
      </c>
      <c r="D11" s="4"/>
      <c r="E11" s="4"/>
      <c r="F11" s="4"/>
      <c r="G11" s="4"/>
      <c r="H11" s="4"/>
      <c r="I11" s="4"/>
      <c r="J11" s="4"/>
    </row>
    <row r="12" customFormat="false" ht="35" hidden="false" customHeight="true" outlineLevel="0" collapsed="false">
      <c r="A12" s="17" t="s">
        <v>1718</v>
      </c>
      <c r="B12" s="17"/>
      <c r="C12" s="4" t="s">
        <v>1719</v>
      </c>
      <c r="D12" s="4"/>
      <c r="E12" s="4"/>
      <c r="F12" s="4"/>
      <c r="G12" s="4"/>
      <c r="H12" s="4"/>
      <c r="I12" s="4"/>
      <c r="J12" s="4"/>
    </row>
    <row r="13" customFormat="false" ht="26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26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35" hidden="false" customHeight="true" outlineLevel="0" collapsed="false">
      <c r="A15" s="14" t="s">
        <v>52</v>
      </c>
      <c r="B15" s="14" t="s">
        <v>1720</v>
      </c>
      <c r="C15" s="14" t="s">
        <v>1721</v>
      </c>
      <c r="D15" s="14" t="s">
        <v>1722</v>
      </c>
      <c r="E15" s="14" t="s">
        <v>1723</v>
      </c>
      <c r="F15" s="14" t="s">
        <v>1724</v>
      </c>
      <c r="G15" s="14" t="s">
        <v>1725</v>
      </c>
      <c r="H15" s="14" t="s">
        <v>19</v>
      </c>
      <c r="I15" s="14" t="s">
        <v>1726</v>
      </c>
      <c r="J15" s="14" t="s">
        <v>1727</v>
      </c>
    </row>
    <row r="16" customFormat="false" ht="58" hidden="false" customHeight="true" outlineLevel="0" collapsed="false">
      <c r="A16" s="22" t="n">
        <v>7</v>
      </c>
      <c r="B16" s="22" t="s">
        <v>75</v>
      </c>
      <c r="C16" s="24"/>
      <c r="D16" s="24"/>
      <c r="E16" s="24"/>
      <c r="F16" s="24"/>
      <c r="G16" s="24"/>
      <c r="H16" s="25" t="str">
        <f aca="false">IF(COUNT(C16:G16)&lt;COLUMNS(C16:G16),"",SUM(C16:G16)/(COLUMNS(C16:G16)*Mulai!$G$8))</f>
        <v/>
      </c>
      <c r="I16" s="22" t="str">
        <f aca="false">IF(H16="","Belum dinilai",IF(H16&gt;=Mulai!$C$7,"Lanjut + review ringan","Ulang 2 topik terlemah"))</f>
        <v>Belum dinilai</v>
      </c>
      <c r="J16" s="24"/>
    </row>
    <row r="17" customFormat="false" ht="58" hidden="false" customHeight="true" outlineLevel="0" collapsed="false">
      <c r="A17" s="22" t="n">
        <v>14</v>
      </c>
      <c r="B17" s="22" t="s">
        <v>82</v>
      </c>
      <c r="C17" s="24"/>
      <c r="D17" s="24"/>
      <c r="E17" s="24"/>
      <c r="F17" s="24"/>
      <c r="G17" s="24"/>
      <c r="H17" s="25" t="str">
        <f aca="false">IF(COUNT(C17:G17)&lt;COLUMNS(C17:G17),"",SUM(C17:G17)/(COLUMNS(C17:G17)*Mulai!$G$8))</f>
        <v/>
      </c>
      <c r="I17" s="22" t="str">
        <f aca="false">IF(H17="","Belum dinilai",IF(H17&gt;=Mulai!$C$7,"Lanjut + review ringan","Ulang 2 topik terlemah"))</f>
        <v>Belum dinilai</v>
      </c>
      <c r="J17" s="24"/>
    </row>
    <row r="18" customFormat="false" ht="58" hidden="false" customHeight="true" outlineLevel="0" collapsed="false">
      <c r="A18" s="22" t="n">
        <v>21</v>
      </c>
      <c r="B18" s="22" t="s">
        <v>89</v>
      </c>
      <c r="C18" s="24"/>
      <c r="D18" s="24"/>
      <c r="E18" s="24"/>
      <c r="F18" s="24"/>
      <c r="G18" s="24"/>
      <c r="H18" s="25" t="str">
        <f aca="false">IF(COUNT(C18:G18)&lt;COLUMNS(C18:G18),"",SUM(C18:G18)/(COLUMNS(C18:G18)*Mulai!$G$8))</f>
        <v/>
      </c>
      <c r="I18" s="22" t="str">
        <f aca="false">IF(H18="","Belum dinilai",IF(H18&gt;=Mulai!$C$7,"Lanjut + review ringan","Ulang 2 topik terlemah"))</f>
        <v>Belum dinilai</v>
      </c>
      <c r="J18" s="24"/>
    </row>
    <row r="19" customFormat="false" ht="58" hidden="false" customHeight="true" outlineLevel="0" collapsed="false">
      <c r="A19" s="22" t="n">
        <v>28</v>
      </c>
      <c r="B19" s="22" t="s">
        <v>96</v>
      </c>
      <c r="C19" s="24"/>
      <c r="D19" s="24"/>
      <c r="E19" s="24"/>
      <c r="F19" s="24"/>
      <c r="G19" s="24"/>
      <c r="H19" s="25" t="str">
        <f aca="false">IF(COUNT(C19:G19)&lt;COLUMNS(C19:G19),"",SUM(C19:G19)/(COLUMNS(C19:G19)*Mulai!$G$8))</f>
        <v/>
      </c>
      <c r="I19" s="22" t="str">
        <f aca="false">IF(H19="","Belum dinilai",IF(H19&gt;=Mulai!$C$7,"Lanjut + review ringan","Ulang 2 topik terlemah"))</f>
        <v>Belum dinilai</v>
      </c>
      <c r="J19" s="24"/>
    </row>
    <row r="20" customFormat="false" ht="58" hidden="false" customHeight="true" outlineLevel="0" collapsed="false">
      <c r="A20" s="22" t="n">
        <v>30</v>
      </c>
      <c r="B20" s="22" t="s">
        <v>98</v>
      </c>
      <c r="C20" s="24"/>
      <c r="D20" s="24"/>
      <c r="E20" s="24"/>
      <c r="F20" s="24"/>
      <c r="G20" s="24"/>
      <c r="H20" s="25" t="str">
        <f aca="false">IF(COUNT(C20:G20)&lt;COLUMNS(C20:G20),"",SUM(C20:G20)/(COLUMNS(C20:G20)*Mulai!$G$8))</f>
        <v/>
      </c>
      <c r="I20" s="22" t="str">
        <f aca="false">IF(H20="","Belum dinilai",IF(H20&gt;=Mulai!$C$7,"Lanjut + review ringan","Ulang 2 topik terlemah"))</f>
        <v>Belum dinilai</v>
      </c>
      <c r="J20" s="24"/>
    </row>
    <row r="21" customFormat="false" ht="58" hidden="false" customHeight="true" outlineLevel="0" collapsed="false">
      <c r="A21" s="22" t="n">
        <v>37</v>
      </c>
      <c r="B21" s="22" t="s">
        <v>105</v>
      </c>
      <c r="C21" s="24"/>
      <c r="D21" s="24"/>
      <c r="E21" s="24"/>
      <c r="F21" s="24"/>
      <c r="G21" s="24"/>
      <c r="H21" s="25" t="str">
        <f aca="false">IF(COUNT(C21:G21)&lt;COLUMNS(C21:G21),"",SUM(C21:G21)/(COLUMNS(C21:G21)*Mulai!$G$8))</f>
        <v/>
      </c>
      <c r="I21" s="22" t="str">
        <f aca="false">IF(H21="","Belum dinilai",IF(H21&gt;=Mulai!$C$7,"Lanjut + review ringan","Ulang 2 topik terlemah"))</f>
        <v>Belum dinilai</v>
      </c>
      <c r="J21" s="24"/>
    </row>
    <row r="22" customFormat="false" ht="58" hidden="false" customHeight="true" outlineLevel="0" collapsed="false">
      <c r="A22" s="22" t="n">
        <v>44</v>
      </c>
      <c r="B22" s="22" t="s">
        <v>112</v>
      </c>
      <c r="C22" s="24"/>
      <c r="D22" s="24"/>
      <c r="E22" s="24"/>
      <c r="F22" s="24"/>
      <c r="G22" s="24"/>
      <c r="H22" s="25" t="str">
        <f aca="false">IF(COUNT(C22:G22)&lt;COLUMNS(C22:G22),"",SUM(C22:G22)/(COLUMNS(C22:G22)*Mulai!$G$8))</f>
        <v/>
      </c>
      <c r="I22" s="22" t="str">
        <f aca="false">IF(H22="","Belum dinilai",IF(H22&gt;=Mulai!$C$7,"Lanjut + review ringan","Ulang 2 topik terlemah"))</f>
        <v>Belum dinilai</v>
      </c>
      <c r="J22" s="24"/>
    </row>
    <row r="23" customFormat="false" ht="58" hidden="false" customHeight="true" outlineLevel="0" collapsed="false">
      <c r="A23" s="22" t="n">
        <v>51</v>
      </c>
      <c r="B23" s="22" t="s">
        <v>119</v>
      </c>
      <c r="C23" s="24"/>
      <c r="D23" s="24"/>
      <c r="E23" s="24"/>
      <c r="F23" s="24"/>
      <c r="G23" s="24"/>
      <c r="H23" s="25" t="str">
        <f aca="false">IF(COUNT(C23:G23)&lt;COLUMNS(C23:G23),"",SUM(C23:G23)/(COLUMNS(C23:G23)*Mulai!$G$8))</f>
        <v/>
      </c>
      <c r="I23" s="22" t="str">
        <f aca="false">IF(H23="","Belum dinilai",IF(H23&gt;=Mulai!$C$7,"Lanjut + review ringan","Ulang 2 topik terlemah"))</f>
        <v>Belum dinilai</v>
      </c>
      <c r="J23" s="24"/>
    </row>
    <row r="24" customFormat="false" ht="58" hidden="false" customHeight="true" outlineLevel="0" collapsed="false">
      <c r="A24" s="22" t="n">
        <v>58</v>
      </c>
      <c r="B24" s="22" t="s">
        <v>126</v>
      </c>
      <c r="C24" s="24"/>
      <c r="D24" s="24"/>
      <c r="E24" s="24"/>
      <c r="F24" s="24"/>
      <c r="G24" s="24"/>
      <c r="H24" s="25" t="str">
        <f aca="false">IF(COUNT(C24:G24)&lt;COLUMNS(C24:G24),"",SUM(C24:G24)/(COLUMNS(C24:G24)*Mulai!$G$8))</f>
        <v/>
      </c>
      <c r="I24" s="22" t="str">
        <f aca="false">IF(H24="","Belum dinilai",IF(H24&gt;=Mulai!$C$7,"Lanjut + review ringan","Ulang 2 topik terlemah"))</f>
        <v>Belum dinilai</v>
      </c>
      <c r="J24" s="24"/>
    </row>
    <row r="25" customFormat="false" ht="58" hidden="false" customHeight="true" outlineLevel="0" collapsed="false">
      <c r="A25" s="22" t="n">
        <v>60</v>
      </c>
      <c r="B25" s="22" t="s">
        <v>128</v>
      </c>
      <c r="C25" s="24"/>
      <c r="D25" s="24"/>
      <c r="E25" s="24"/>
      <c r="F25" s="24"/>
      <c r="G25" s="24"/>
      <c r="H25" s="25" t="str">
        <f aca="false">IF(COUNT(C25:G25)&lt;COLUMNS(C25:G25),"",SUM(C25:G25)/(COLUMNS(C25:G25)*Mulai!$G$8))</f>
        <v/>
      </c>
      <c r="I25" s="22" t="str">
        <f aca="false">IF(H25="","Belum dinilai",IF(H25&gt;=Mulai!$C$7,"Lanjut + review ringan","Ulang 2 topik terlemah"))</f>
        <v>Belum dinilai</v>
      </c>
      <c r="J25" s="24"/>
    </row>
    <row r="26" customFormat="false" ht="58" hidden="false" customHeight="true" outlineLevel="0" collapsed="false">
      <c r="A26" s="22" t="n">
        <v>67</v>
      </c>
      <c r="B26" s="22" t="s">
        <v>135</v>
      </c>
      <c r="C26" s="24"/>
      <c r="D26" s="24"/>
      <c r="E26" s="24"/>
      <c r="F26" s="24"/>
      <c r="G26" s="24"/>
      <c r="H26" s="25" t="str">
        <f aca="false">IF(COUNT(C26:G26)&lt;COLUMNS(C26:G26),"",SUM(C26:G26)/(COLUMNS(C26:G26)*Mulai!$G$8))</f>
        <v/>
      </c>
      <c r="I26" s="22" t="str">
        <f aca="false">IF(H26="","Belum dinilai",IF(H26&gt;=Mulai!$C$7,"Lanjut + review ringan","Ulang 2 topik terlemah"))</f>
        <v>Belum dinilai</v>
      </c>
      <c r="J26" s="24"/>
    </row>
    <row r="27" customFormat="false" ht="58" hidden="false" customHeight="true" outlineLevel="0" collapsed="false">
      <c r="A27" s="22" t="n">
        <v>74</v>
      </c>
      <c r="B27" s="22" t="s">
        <v>142</v>
      </c>
      <c r="C27" s="24"/>
      <c r="D27" s="24"/>
      <c r="E27" s="24"/>
      <c r="F27" s="24"/>
      <c r="G27" s="24"/>
      <c r="H27" s="25" t="str">
        <f aca="false">IF(COUNT(C27:G27)&lt;COLUMNS(C27:G27),"",SUM(C27:G27)/(COLUMNS(C27:G27)*Mulai!$G$8))</f>
        <v/>
      </c>
      <c r="I27" s="22" t="str">
        <f aca="false">IF(H27="","Belum dinilai",IF(H27&gt;=Mulai!$C$7,"Lanjut + review ringan","Ulang 2 topik terlemah"))</f>
        <v>Belum dinilai</v>
      </c>
      <c r="J27" s="24"/>
    </row>
    <row r="28" customFormat="false" ht="58" hidden="false" customHeight="true" outlineLevel="0" collapsed="false">
      <c r="A28" s="22" t="n">
        <v>81</v>
      </c>
      <c r="B28" s="22" t="s">
        <v>149</v>
      </c>
      <c r="C28" s="24"/>
      <c r="D28" s="24"/>
      <c r="E28" s="24"/>
      <c r="F28" s="24"/>
      <c r="G28" s="24"/>
      <c r="H28" s="25" t="str">
        <f aca="false">IF(COUNT(C28:G28)&lt;COLUMNS(C28:G28),"",SUM(C28:G28)/(COLUMNS(C28:G28)*Mulai!$G$8))</f>
        <v/>
      </c>
      <c r="I28" s="22" t="str">
        <f aca="false">IF(H28="","Belum dinilai",IF(H28&gt;=Mulai!$C$7,"Lanjut + review ringan","Ulang 2 topik terlemah"))</f>
        <v>Belum dinilai</v>
      </c>
      <c r="J28" s="24"/>
    </row>
    <row r="29" customFormat="false" ht="58" hidden="false" customHeight="true" outlineLevel="0" collapsed="false">
      <c r="A29" s="22" t="n">
        <v>88</v>
      </c>
      <c r="B29" s="22" t="s">
        <v>156</v>
      </c>
      <c r="C29" s="24"/>
      <c r="D29" s="24"/>
      <c r="E29" s="24"/>
      <c r="F29" s="24"/>
      <c r="G29" s="24"/>
      <c r="H29" s="25" t="str">
        <f aca="false">IF(COUNT(C29:G29)&lt;COLUMNS(C29:G29),"",SUM(C29:G29)/(COLUMNS(C29:G29)*Mulai!$G$8))</f>
        <v/>
      </c>
      <c r="I29" s="22" t="str">
        <f aca="false">IF(H29="","Belum dinilai",IF(H29&gt;=Mulai!$C$7,"Lanjut + review ringan","Ulang 2 topik terlemah"))</f>
        <v>Belum dinilai</v>
      </c>
      <c r="J29" s="24"/>
    </row>
    <row r="30" customFormat="false" ht="58" hidden="false" customHeight="true" outlineLevel="0" collapsed="false">
      <c r="A30" s="22" t="n">
        <v>90</v>
      </c>
      <c r="B30" s="22" t="s">
        <v>158</v>
      </c>
      <c r="C30" s="24"/>
      <c r="D30" s="24"/>
      <c r="E30" s="24"/>
      <c r="F30" s="24"/>
      <c r="G30" s="24"/>
      <c r="H30" s="25" t="str">
        <f aca="false">IF(COUNT(C30:G30)&lt;COLUMNS(C30:G30),"",SUM(C30:G30)/(COLUMNS(C30:G30)*Mulai!$G$8))</f>
        <v/>
      </c>
      <c r="I30" s="22" t="str">
        <f aca="false">IF(H30="","Belum dinilai",IF(H30&gt;=Mulai!$C$7,"Lanjut + review ringan","Ulang 2 topik terlemah"))</f>
        <v>Belum dinilai</v>
      </c>
      <c r="J30" s="24"/>
    </row>
    <row r="31" customFormat="false" ht="58" hidden="false" customHeight="true" outlineLevel="0" collapsed="false">
      <c r="A31" s="22" t="n">
        <v>97</v>
      </c>
      <c r="B31" s="22" t="s">
        <v>165</v>
      </c>
      <c r="C31" s="24"/>
      <c r="D31" s="24"/>
      <c r="E31" s="24"/>
      <c r="F31" s="24"/>
      <c r="G31" s="24"/>
      <c r="H31" s="25" t="str">
        <f aca="false">IF(COUNT(C31:G31)&lt;COLUMNS(C31:G31),"",SUM(C31:G31)/(COLUMNS(C31:G31)*Mulai!$G$8))</f>
        <v/>
      </c>
      <c r="I31" s="22" t="str">
        <f aca="false">IF(H31="","Belum dinilai",IF(H31&gt;=Mulai!$C$7,"Lanjut + review ringan","Ulang 2 topik terlemah"))</f>
        <v>Belum dinilai</v>
      </c>
      <c r="J31" s="24"/>
    </row>
    <row r="32" customFormat="false" ht="58" hidden="false" customHeight="true" outlineLevel="0" collapsed="false">
      <c r="A32" s="22" t="n">
        <v>104</v>
      </c>
      <c r="B32" s="22" t="s">
        <v>172</v>
      </c>
      <c r="C32" s="24"/>
      <c r="D32" s="24"/>
      <c r="E32" s="24"/>
      <c r="F32" s="24"/>
      <c r="G32" s="24"/>
      <c r="H32" s="25" t="str">
        <f aca="false">IF(COUNT(C32:G32)&lt;COLUMNS(C32:G32),"",SUM(C32:G32)/(COLUMNS(C32:G32)*Mulai!$G$8))</f>
        <v/>
      </c>
      <c r="I32" s="22" t="str">
        <f aca="false">IF(H32="","Belum dinilai",IF(H32&gt;=Mulai!$C$7,"Lanjut + review ringan","Ulang 2 topik terlemah"))</f>
        <v>Belum dinilai</v>
      </c>
      <c r="J32" s="24"/>
    </row>
    <row r="33" customFormat="false" ht="58" hidden="false" customHeight="true" outlineLevel="0" collapsed="false">
      <c r="A33" s="22" t="n">
        <v>111</v>
      </c>
      <c r="B33" s="22" t="s">
        <v>179</v>
      </c>
      <c r="C33" s="24"/>
      <c r="D33" s="24"/>
      <c r="E33" s="24"/>
      <c r="F33" s="24"/>
      <c r="G33" s="24"/>
      <c r="H33" s="25" t="str">
        <f aca="false">IF(COUNT(C33:G33)&lt;COLUMNS(C33:G33),"",SUM(C33:G33)/(COLUMNS(C33:G33)*Mulai!$G$8))</f>
        <v/>
      </c>
      <c r="I33" s="22" t="str">
        <f aca="false">IF(H33="","Belum dinilai",IF(H33&gt;=Mulai!$C$7,"Lanjut + review ringan","Ulang 2 topik terlemah"))</f>
        <v>Belum dinilai</v>
      </c>
      <c r="J33" s="24"/>
    </row>
    <row r="34" customFormat="false" ht="58" hidden="false" customHeight="true" outlineLevel="0" collapsed="false">
      <c r="A34" s="22" t="n">
        <v>118</v>
      </c>
      <c r="B34" s="22" t="s">
        <v>186</v>
      </c>
      <c r="C34" s="24"/>
      <c r="D34" s="24"/>
      <c r="E34" s="24"/>
      <c r="F34" s="24"/>
      <c r="G34" s="24"/>
      <c r="H34" s="25" t="str">
        <f aca="false">IF(COUNT(C34:G34)&lt;COLUMNS(C34:G34),"",SUM(C34:G34)/(COLUMNS(C34:G34)*Mulai!$G$8))</f>
        <v/>
      </c>
      <c r="I34" s="22" t="str">
        <f aca="false">IF(H34="","Belum dinilai",IF(H34&gt;=Mulai!$C$7,"Lanjut + review ringan","Ulang 2 topik terlemah"))</f>
        <v>Belum dinilai</v>
      </c>
      <c r="J34" s="24"/>
    </row>
    <row r="35" customFormat="false" ht="58" hidden="false" customHeight="true" outlineLevel="0" collapsed="false">
      <c r="A35" s="22" t="n">
        <v>120</v>
      </c>
      <c r="B35" s="22" t="s">
        <v>188</v>
      </c>
      <c r="C35" s="24"/>
      <c r="D35" s="24"/>
      <c r="E35" s="24"/>
      <c r="F35" s="24"/>
      <c r="G35" s="24"/>
      <c r="H35" s="25" t="str">
        <f aca="false">IF(COUNT(C35:G35)&lt;COLUMNS(C35:G35),"",SUM(C35:G35)/(COLUMNS(C35:G35)*Mulai!$G$8))</f>
        <v/>
      </c>
      <c r="I35" s="22" t="str">
        <f aca="false">IF(H35="","Belum dinilai",IF(H35&gt;=Mulai!$C$7,"Lanjut + review ringan","Ulang 2 topik terlemah"))</f>
        <v>Belum dinilai</v>
      </c>
      <c r="J35" s="24"/>
    </row>
  </sheetData>
  <mergeCells count="17">
    <mergeCell ref="A1:J2"/>
    <mergeCell ref="A3:J3"/>
    <mergeCell ref="A5:J5"/>
    <mergeCell ref="A6:B6"/>
    <mergeCell ref="C6:J6"/>
    <mergeCell ref="A7:B7"/>
    <mergeCell ref="C7:J7"/>
    <mergeCell ref="A8:B8"/>
    <mergeCell ref="C8:J8"/>
    <mergeCell ref="A9:B9"/>
    <mergeCell ref="C9:J9"/>
    <mergeCell ref="A10:B10"/>
    <mergeCell ref="C10:J10"/>
    <mergeCell ref="A11:B11"/>
    <mergeCell ref="C11:J11"/>
    <mergeCell ref="A12:B12"/>
    <mergeCell ref="C12:J12"/>
  </mergeCells>
  <conditionalFormatting sqref="H16:H35">
    <cfRule type="dataBar" priority="2">
      <dataBar showValue="1" minLength="10" maxLength="90">
        <cfvo type="num" val="0"/>
        <cfvo type="num" val="1"/>
        <color rgb="FF147D79"/>
      </dataBar>
      <extLst>
        <ext xmlns:x14="http://schemas.microsoft.com/office/spreadsheetml/2009/9/main" uri="{B025F937-C7B1-47D3-B67F-A62EFF666E3E}">
          <x14:id>{93E2A5DE-8BAC-45F0-849D-F2C2A082F662}</x14:id>
        </ext>
      </extLst>
    </cfRule>
  </conditionalFormatting>
  <dataValidations count="1">
    <dataValidation allowBlank="false" errorStyle="stop" operator="between" showDropDown="false" showErrorMessage="false" showInputMessage="false" sqref="C16:G35" type="whole">
      <formula1>0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E2A5DE-8BAC-45F0-849D-F2C2A082F66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47D79"/>
              <x14:axisColor rgb="FF000000"/>
            </x14:dataBar>
          </x14:cfRule>
          <xm:sqref>H16:H35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